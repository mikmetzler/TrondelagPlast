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6"/>
  <workbookPr defaultThemeVersion="166925"/>
  <mc:AlternateContent xmlns:mc="http://schemas.openxmlformats.org/markup-compatibility/2006">
    <mc:Choice Requires="x15">
      <x15ac:absPath xmlns:x15ac="http://schemas.microsoft.com/office/spreadsheetml/2010/11/ac" url="/Users/michaelmetzler/Documents/2025/MFA/Random/Thesis/"/>
    </mc:Choice>
  </mc:AlternateContent>
  <xr:revisionPtr revIDLastSave="0" documentId="8_{09D71300-07F0-474A-9256-CC7769BA51AE}" xr6:coauthVersionLast="47" xr6:coauthVersionMax="47" xr10:uidLastSave="{00000000-0000-0000-0000-000000000000}"/>
  <bookViews>
    <workbookView xWindow="0" yWindow="760" windowWidth="30340" windowHeight="18460" activeTab="1" xr2:uid="{00000000-000D-0000-FFFF-FFFF00000000}"/>
  </bookViews>
  <sheets>
    <sheet name="ReadMe" sheetId="9" r:id="rId1"/>
    <sheet name="Data" sheetId="5" r:id="rId2"/>
    <sheet name="Status" sheetId="4" r:id="rId3"/>
    <sheet name="Lists" sheetId="2" r:id="rId4"/>
    <sheet name="Analyse Område" sheetId="7" r:id="rId5"/>
    <sheet name="Analyse What is Produced" sheetId="6" r:id="rId6"/>
    <sheet name="Sheet2" sheetId="11" r:id="rId7"/>
    <sheet name="Analyse Gård" sheetId="8" r:id="rId8"/>
  </sheets>
  <definedNames>
    <definedName name="_xlnm._FilterDatabase" localSheetId="1" hidden="1">Data!$A$1:$R$2</definedName>
    <definedName name="_xlchart.v1.0" hidden="1">'Analyse Område'!$M$1</definedName>
    <definedName name="_xlchart.v1.1" hidden="1">'Analyse Område'!$M$7:$M$51</definedName>
    <definedName name="_xlchart.v1.10" hidden="1">'Analyse Område'!$R$1</definedName>
    <definedName name="_xlchart.v1.11" hidden="1">'Analyse Område'!$R$7:$R$51</definedName>
    <definedName name="_xlchart.v1.12" hidden="1">'Analyse Område'!$S$1</definedName>
    <definedName name="_xlchart.v1.13" hidden="1">'Analyse Område'!$S$7:$S$51</definedName>
    <definedName name="_xlchart.v1.14" hidden="1">'Analyse Område'!$T$1</definedName>
    <definedName name="_xlchart.v1.15" hidden="1">'Analyse Område'!$T$7:$T$51</definedName>
    <definedName name="_xlchart.v1.16" hidden="1">'Analyse Område'!$U$1</definedName>
    <definedName name="_xlchart.v1.17" hidden="1">'Analyse Område'!$U$7:$U$51</definedName>
    <definedName name="_xlchart.v1.18" hidden="1">'Analyse What is Produced'!$B$1</definedName>
    <definedName name="_xlchart.v1.19" hidden="1">'Analyse What is Produced'!$B$5:$B$48</definedName>
    <definedName name="_xlchart.v1.2" hidden="1">'Analyse Område'!$N$1</definedName>
    <definedName name="_xlchart.v1.20" hidden="1">'Analyse What is Produced'!$C$1</definedName>
    <definedName name="_xlchart.v1.21" hidden="1">'Analyse What is Produced'!$C$5:$C$48</definedName>
    <definedName name="_xlchart.v1.22" hidden="1">'Analyse What is Produced'!$D$1</definedName>
    <definedName name="_xlchart.v1.23" hidden="1">'Analyse What is Produced'!$D$5:$D$48</definedName>
    <definedName name="_xlchart.v1.24" hidden="1">'Analyse What is Produced'!$E$1</definedName>
    <definedName name="_xlchart.v1.25" hidden="1">'Analyse What is Produced'!$E$5:$E$48</definedName>
    <definedName name="_xlchart.v1.26" hidden="1">'Analyse What is Produced'!$F$1</definedName>
    <definedName name="_xlchart.v1.27" hidden="1">'Analyse What is Produced'!$F$5:$F$48</definedName>
    <definedName name="_xlchart.v1.28" hidden="1">'Analyse What is Produced'!$G$1</definedName>
    <definedName name="_xlchart.v1.29" hidden="1">'Analyse What is Produced'!$G$5:$G$48</definedName>
    <definedName name="_xlchart.v1.3" hidden="1">'Analyse Område'!$N$7:$N$51</definedName>
    <definedName name="_xlchart.v1.30" hidden="1">Sheet2!$B$1</definedName>
    <definedName name="_xlchart.v1.31" hidden="1">Sheet2!$B$5:$B$48</definedName>
    <definedName name="_xlchart.v1.32" hidden="1">Sheet2!$C$1</definedName>
    <definedName name="_xlchart.v1.33" hidden="1">Sheet2!$C$5:$C$48</definedName>
    <definedName name="_xlchart.v1.34" hidden="1">Sheet2!$D$1</definedName>
    <definedName name="_xlchart.v1.35" hidden="1">Sheet2!$D$5:$D$48</definedName>
    <definedName name="_xlchart.v1.36" hidden="1">Sheet2!$E$1</definedName>
    <definedName name="_xlchart.v1.37" hidden="1">Sheet2!$E$5:$E$48</definedName>
    <definedName name="_xlchart.v1.38" hidden="1">Sheet2!$F$1</definedName>
    <definedName name="_xlchart.v1.39" hidden="1">Sheet2!$F$5:$F$48</definedName>
    <definedName name="_xlchart.v1.4" hidden="1">'Analyse Område'!$O$1</definedName>
    <definedName name="_xlchart.v1.40" hidden="1">Sheet2!$G$1</definedName>
    <definedName name="_xlchart.v1.41" hidden="1">Sheet2!$G$5:$G$48</definedName>
    <definedName name="_xlchart.v1.5" hidden="1">'Analyse Område'!$O$7:$O$51</definedName>
    <definedName name="_xlchart.v1.6" hidden="1">'Analyse Område'!$P$1</definedName>
    <definedName name="_xlchart.v1.7" hidden="1">'Analyse Område'!$P$7:$P$51</definedName>
    <definedName name="_xlchart.v1.8" hidden="1">'Analyse Område'!$Q$1</definedName>
    <definedName name="_xlchart.v1.9" hidden="1">'Analyse Område'!$Q$7:$Q$51</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 i="11" l="1"/>
  <c r="G4" i="11"/>
  <c r="G3" i="11"/>
  <c r="G3" i="6"/>
  <c r="F3" i="6"/>
  <c r="E3" i="6"/>
  <c r="D3" i="6"/>
  <c r="C3" i="6"/>
  <c r="B3" i="6"/>
  <c r="G5" i="6" a="1"/>
  <c r="L1" i="7" a="1"/>
  <c r="B1" i="8" a="1"/>
  <c r="J5" i="7" a="1"/>
  <c r="F5" i="6" a="1"/>
  <c r="E5" i="6" a="1"/>
  <c r="D5" i="6" a="1"/>
  <c r="C5" i="6" a="1"/>
  <c r="B5" i="6" a="1"/>
  <c r="I5" i="7" a="1"/>
  <c r="H5" i="7" a="1"/>
  <c r="G5" i="7" a="1"/>
  <c r="F5" i="7" a="1"/>
  <c r="E5" i="7" a="1"/>
  <c r="D5" i="7" a="1"/>
  <c r="C5" i="7" a="1"/>
  <c r="B5" i="7" a="1"/>
  <c r="T1" i="6" a="1"/>
  <c r="B8" i="4"/>
  <c r="B12" i="4"/>
  <c r="B11" i="4"/>
  <c r="B9" i="4"/>
  <c r="B7" i="4"/>
  <c r="B6" i="4"/>
  <c r="B5" i="4"/>
  <c r="B4" i="4"/>
  <c r="B3" i="4"/>
  <c r="B2" i="4"/>
  <c r="G2" i="6"/>
  <c r="Q7" i="7" a="1"/>
  <c r="R7" i="7" a="1"/>
  <c r="M7" i="7" a="1"/>
  <c r="O7" i="7" a="1"/>
  <c r="N7" i="7" a="1"/>
  <c r="S7" i="7" a="1"/>
  <c r="P7" i="7" a="1"/>
  <c r="U7" i="7" a="1"/>
  <c r="T7" i="7" a="1"/>
  <c r="AP4" i="8" a="1"/>
  <c r="AO4" i="8" a="1"/>
  <c r="AQ4" i="8" a="1"/>
  <c r="AN4" i="8" a="1"/>
  <c r="Z4" i="8" a="1"/>
  <c r="AF4" i="8" a="1"/>
  <c r="AE4" i="8" a="1"/>
  <c r="AD4" i="8" a="1"/>
  <c r="AC4" i="8" a="1"/>
  <c r="AB4" i="8" a="1"/>
  <c r="AA4" i="8" a="1"/>
  <c r="Y4" i="8" a="1"/>
  <c r="X4" i="8" a="1"/>
  <c r="W4" i="8" a="1"/>
  <c r="V4" i="8" a="1"/>
  <c r="U4" i="8" a="1"/>
  <c r="T4" i="8" a="1"/>
  <c r="S4" i="8" a="1"/>
  <c r="R4" i="8" a="1"/>
  <c r="Q4" i="8" a="1"/>
  <c r="P4" i="8" a="1"/>
  <c r="O4" i="8" a="1"/>
  <c r="N4" i="8" a="1"/>
  <c r="M4" i="8" a="1"/>
  <c r="L4" i="8" a="1"/>
  <c r="K4" i="8" a="1"/>
  <c r="J4" i="8" a="1"/>
  <c r="I4" i="8" a="1"/>
  <c r="H4" i="8" a="1"/>
  <c r="G4" i="8" a="1"/>
  <c r="F4" i="8" a="1"/>
  <c r="E4" i="8" a="1"/>
  <c r="D4" i="8" a="1"/>
  <c r="C4" i="8" a="1"/>
  <c r="AG4" i="8" a="1"/>
  <c r="AM4" i="8" a="1"/>
  <c r="AL4" i="8" a="1"/>
  <c r="AK4" i="8" a="1"/>
  <c r="AJ4" i="8" a="1"/>
  <c r="AI4" i="8" a="1"/>
  <c r="AH4" i="8" a="1"/>
  <c r="AS5" i="6" a="1"/>
  <c r="AR5" i="6" a="1"/>
  <c r="AQ5" i="6" a="1"/>
  <c r="AP5" i="6" a="1"/>
  <c r="AO5" i="6" a="1"/>
  <c r="AN5" i="6" a="1"/>
  <c r="AM5" i="6" a="1"/>
  <c r="AL5" i="6" a="1"/>
  <c r="AK5" i="6" a="1"/>
  <c r="AJ5" i="6" a="1"/>
  <c r="AI5" i="6" a="1"/>
  <c r="AH5" i="6" a="1"/>
  <c r="AG5" i="6" a="1"/>
  <c r="AF5" i="6" a="1"/>
  <c r="AE5" i="6" a="1"/>
  <c r="AZ5" i="6" a="1"/>
  <c r="AC5" i="6" a="1"/>
  <c r="AB5" i="6" a="1"/>
  <c r="AA5" i="6" a="1"/>
  <c r="Z5" i="6" a="1"/>
  <c r="Y5" i="6" a="1"/>
  <c r="X5" i="6" a="1"/>
  <c r="W5" i="6" a="1"/>
  <c r="AD5" i="6" a="1"/>
  <c r="U5" i="6" a="1"/>
  <c r="AY5" i="6" a="1"/>
  <c r="AX5" i="6" a="1"/>
  <c r="AW5" i="6" a="1"/>
  <c r="AV5" i="6" a="1"/>
  <c r="AU5" i="6" a="1"/>
  <c r="AT5" i="6" a="1"/>
  <c r="V5" i="6" a="1"/>
  <c r="B1" i="4"/>
  <c r="G4" i="6"/>
  <c r="AK3" i="8"/>
  <c r="AJ3" i="8"/>
  <c r="AI2" i="8"/>
  <c r="AG3" i="8"/>
  <c r="AD3" i="8"/>
  <c r="AA3" i="8"/>
  <c r="X2" i="8"/>
  <c r="L2" i="8"/>
  <c r="C3" i="8"/>
  <c r="AC2" i="6"/>
  <c r="AA3" i="6"/>
  <c r="B2" i="7"/>
  <c r="B4" i="7"/>
  <c r="B3" i="7"/>
  <c r="C2" i="7"/>
  <c r="C4" i="7"/>
  <c r="C3" i="7"/>
  <c r="D2" i="7"/>
  <c r="D4" i="7"/>
  <c r="D3" i="7"/>
  <c r="E2" i="7"/>
  <c r="E4" i="7"/>
  <c r="E3" i="7"/>
  <c r="F2" i="7"/>
  <c r="F4" i="7"/>
  <c r="F3" i="7"/>
  <c r="G2" i="7"/>
  <c r="G4" i="7"/>
  <c r="G3" i="7"/>
  <c r="H4" i="7"/>
  <c r="H2" i="7"/>
  <c r="H3" i="7"/>
  <c r="I4" i="7"/>
  <c r="I2" i="7"/>
  <c r="I3" i="7"/>
  <c r="J2" i="7"/>
  <c r="J3" i="7"/>
  <c r="J4" i="7"/>
  <c r="M5" i="7"/>
  <c r="M3" i="7"/>
  <c r="M2" i="7"/>
  <c r="M4" i="7"/>
  <c r="Y23" i="7"/>
  <c r="Z23" i="7"/>
  <c r="M6" i="7"/>
  <c r="N3" i="7"/>
  <c r="N2" i="7"/>
  <c r="N6" i="7"/>
  <c r="N5" i="7"/>
  <c r="N4" i="7"/>
  <c r="Y24" i="7"/>
  <c r="Z24" i="7"/>
  <c r="O4" i="7"/>
  <c r="Y25" i="7"/>
  <c r="Z25" i="7"/>
  <c r="O2" i="7"/>
  <c r="O3" i="7"/>
  <c r="O5" i="7"/>
  <c r="O6" i="7"/>
  <c r="P5" i="7"/>
  <c r="P6" i="7"/>
  <c r="P2" i="7"/>
  <c r="P3" i="7"/>
  <c r="P4" i="7"/>
  <c r="Y26" i="7"/>
  <c r="Z26" i="7"/>
  <c r="Q6" i="7"/>
  <c r="Q4" i="7"/>
  <c r="Y27" i="7"/>
  <c r="Z27" i="7"/>
  <c r="Q5" i="7"/>
  <c r="Q3" i="7"/>
  <c r="Q2" i="7"/>
  <c r="R5" i="7"/>
  <c r="R6" i="7"/>
  <c r="R4" i="7"/>
  <c r="Y28" i="7"/>
  <c r="Z28" i="7"/>
  <c r="R2" i="7"/>
  <c r="R3" i="7"/>
  <c r="S3" i="7"/>
  <c r="S4" i="7"/>
  <c r="Y29" i="7"/>
  <c r="Z29" i="7"/>
  <c r="S2" i="7"/>
  <c r="S6" i="7"/>
  <c r="S5" i="7"/>
  <c r="T5" i="7"/>
  <c r="T6" i="7"/>
  <c r="T4" i="7"/>
  <c r="Y30" i="7"/>
  <c r="Z30" i="7"/>
  <c r="T2" i="7"/>
  <c r="T3" i="7"/>
  <c r="U6" i="7"/>
  <c r="U5" i="7"/>
  <c r="U4" i="7"/>
  <c r="Y31" i="7"/>
  <c r="Z31" i="7"/>
  <c r="U3" i="7"/>
  <c r="U2" i="7"/>
  <c r="B2" i="6"/>
  <c r="B4" i="6"/>
  <c r="C4" i="6"/>
  <c r="C2" i="6"/>
  <c r="D2" i="6"/>
  <c r="D4" i="6"/>
  <c r="E4" i="6"/>
  <c r="E2" i="6"/>
  <c r="F4" i="6"/>
  <c r="F2" i="6"/>
  <c r="U2" i="6"/>
  <c r="U3" i="6"/>
  <c r="U4" i="6"/>
  <c r="V2" i="6"/>
  <c r="V4" i="6"/>
  <c r="W3" i="6"/>
  <c r="W4" i="6"/>
  <c r="W2" i="6"/>
  <c r="V3" i="6"/>
  <c r="X2" i="6"/>
  <c r="AX3" i="6"/>
  <c r="X3" i="6"/>
  <c r="X4" i="6"/>
  <c r="Y4" i="6"/>
  <c r="Y3" i="6"/>
  <c r="Y2" i="6"/>
  <c r="Z2" i="6"/>
  <c r="Z3" i="6"/>
  <c r="Z4" i="6"/>
  <c r="AB4" i="6"/>
  <c r="AB3" i="6"/>
  <c r="AD2" i="6"/>
  <c r="AD4" i="6"/>
  <c r="AA2" i="6"/>
  <c r="AD3" i="6"/>
  <c r="AE2" i="6"/>
  <c r="AE4" i="6"/>
  <c r="AF3" i="6"/>
  <c r="AF2" i="6"/>
  <c r="AF4" i="6"/>
  <c r="AC3" i="6"/>
  <c r="AG4" i="6"/>
  <c r="AG3" i="6"/>
  <c r="AB2" i="6"/>
  <c r="AH3" i="6"/>
  <c r="AH2" i="6"/>
  <c r="AH4" i="6"/>
  <c r="AI3" i="6"/>
  <c r="AI4" i="6"/>
  <c r="AJ3" i="6"/>
  <c r="AJ2" i="6"/>
  <c r="AJ4" i="6"/>
  <c r="AK3" i="6"/>
  <c r="AK4" i="6"/>
  <c r="AL3" i="6"/>
  <c r="AL2" i="6"/>
  <c r="AM3" i="6"/>
  <c r="AM2" i="6"/>
  <c r="AM4" i="6"/>
  <c r="AN2" i="6"/>
  <c r="AN4" i="6"/>
  <c r="AT4" i="6"/>
  <c r="AQ2" i="6"/>
  <c r="AK2" i="6"/>
  <c r="AE3" i="6"/>
  <c r="AL4" i="6"/>
  <c r="AN3" i="6"/>
  <c r="AO4" i="6"/>
  <c r="AI2" i="6"/>
  <c r="AO2" i="6"/>
  <c r="AP2" i="6"/>
  <c r="AP4" i="6"/>
  <c r="AP3" i="6"/>
  <c r="AQ4" i="6"/>
  <c r="AQ3" i="6"/>
  <c r="AR4" i="6"/>
  <c r="AO3" i="6"/>
  <c r="AR3" i="6"/>
  <c r="AR2" i="6"/>
  <c r="AS3" i="6"/>
  <c r="AS2" i="6"/>
  <c r="AS4" i="6"/>
  <c r="AG2" i="6"/>
  <c r="AT2" i="6"/>
  <c r="AT3" i="6"/>
  <c r="AU2" i="6"/>
  <c r="AU3" i="6"/>
  <c r="AV2" i="6"/>
  <c r="AV4" i="6"/>
  <c r="AV3" i="6"/>
  <c r="AW4" i="6"/>
  <c r="AW2" i="6"/>
  <c r="AW3" i="6"/>
  <c r="AX4" i="6"/>
  <c r="AX2" i="6"/>
  <c r="AU4" i="6"/>
  <c r="AC4" i="6"/>
  <c r="AA4" i="6"/>
  <c r="AY4" i="6"/>
  <c r="AY3" i="6"/>
  <c r="AY2" i="6"/>
  <c r="AZ2" i="6"/>
  <c r="AZ3" i="6"/>
  <c r="AZ4" i="6"/>
  <c r="D3" i="8"/>
  <c r="D2" i="8"/>
  <c r="E3" i="8"/>
  <c r="E2" i="8"/>
  <c r="F2" i="8"/>
  <c r="F3" i="8"/>
  <c r="G3" i="8"/>
  <c r="G2" i="8"/>
  <c r="H3" i="8"/>
  <c r="H2" i="8"/>
  <c r="I2" i="8"/>
  <c r="I3" i="8"/>
  <c r="J3" i="8"/>
  <c r="J2" i="8"/>
  <c r="K3" i="8"/>
  <c r="K2" i="8"/>
  <c r="M3" i="8"/>
  <c r="M2" i="8"/>
  <c r="N3" i="8"/>
  <c r="N2" i="8"/>
  <c r="P2" i="8"/>
  <c r="P3" i="8"/>
  <c r="Q2" i="8"/>
  <c r="Q3" i="8"/>
  <c r="S2" i="8"/>
  <c r="S3" i="8"/>
  <c r="T2" i="8"/>
  <c r="T3" i="8"/>
  <c r="V2" i="8"/>
  <c r="V3" i="8"/>
  <c r="W3" i="8"/>
  <c r="W2" i="8"/>
  <c r="U2" i="8"/>
  <c r="R2" i="8"/>
  <c r="O2" i="8"/>
  <c r="Y3" i="8"/>
  <c r="Y2" i="8"/>
  <c r="L3" i="8"/>
  <c r="AB3" i="8"/>
  <c r="AB2" i="8"/>
  <c r="AE2" i="8"/>
  <c r="AE3" i="8"/>
  <c r="AH2" i="8"/>
  <c r="AH3" i="8"/>
  <c r="AL2" i="8"/>
  <c r="AF3" i="8"/>
  <c r="AC3" i="8"/>
  <c r="Z2" i="8"/>
  <c r="AL3" i="8"/>
  <c r="AM3" i="8"/>
  <c r="AK2" i="8"/>
  <c r="AJ2" i="8"/>
  <c r="AI3" i="8"/>
  <c r="AG2" i="8"/>
  <c r="AF2" i="8"/>
  <c r="AD2" i="8"/>
  <c r="AC2" i="8"/>
  <c r="AA2" i="8"/>
  <c r="Z3" i="8"/>
  <c r="X3" i="8"/>
  <c r="U3" i="8"/>
  <c r="R3" i="8"/>
  <c r="O3" i="8"/>
  <c r="C2" i="8"/>
  <c r="AM2" i="8"/>
  <c r="AN3" i="8"/>
  <c r="AN2" i="8"/>
  <c r="AO2" i="8"/>
  <c r="AO3" i="8"/>
  <c r="AP3" i="8"/>
  <c r="AP2" i="8"/>
  <c r="AQ3" i="8"/>
  <c r="AQ2" i="8"/>
  <c r="B2" i="8"/>
  <c r="B3" i="8"/>
  <c r="AQ4" i="8"/>
  <c r="AP4" i="8"/>
  <c r="AO4" i="8"/>
  <c r="AN4" i="8"/>
  <c r="AM4" i="8"/>
  <c r="AL4" i="8"/>
  <c r="AK4" i="8"/>
  <c r="AJ4" i="8"/>
  <c r="AI4" i="8"/>
  <c r="AH4" i="8"/>
  <c r="AG4" i="8"/>
  <c r="AF4" i="8"/>
  <c r="AE4" i="8"/>
  <c r="AD4" i="8"/>
  <c r="AC4" i="8"/>
  <c r="AB4" i="8"/>
  <c r="AA4" i="8"/>
  <c r="Z4" i="8"/>
  <c r="Y4" i="8"/>
  <c r="X4" i="8"/>
  <c r="W4" i="8"/>
  <c r="V4" i="8"/>
  <c r="U4" i="8"/>
  <c r="T4" i="8"/>
  <c r="S4" i="8"/>
  <c r="R4" i="8"/>
  <c r="Q4" i="8"/>
  <c r="P4" i="8"/>
  <c r="O4" i="8"/>
  <c r="N4" i="8"/>
  <c r="M4" i="8"/>
  <c r="L4" i="8"/>
  <c r="K4" i="8"/>
  <c r="J4" i="8"/>
  <c r="I4" i="8"/>
  <c r="H4" i="8"/>
  <c r="G4" i="8"/>
  <c r="F4" i="8"/>
  <c r="E4" i="8"/>
  <c r="D4" i="8"/>
  <c r="C4" i="8"/>
  <c r="B1" i="8"/>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G5" i="6"/>
  <c r="F5" i="6"/>
  <c r="E5" i="6"/>
  <c r="D5" i="6"/>
  <c r="C5" i="6"/>
  <c r="B5" i="6"/>
  <c r="T1" i="6"/>
  <c r="U7" i="7"/>
  <c r="T7" i="7"/>
  <c r="S7" i="7"/>
  <c r="R7" i="7"/>
  <c r="Q7" i="7"/>
  <c r="P7" i="7"/>
  <c r="O7" i="7"/>
  <c r="N7" i="7"/>
  <c r="M7" i="7"/>
  <c r="J5" i="7"/>
  <c r="I5" i="7"/>
  <c r="H5" i="7"/>
  <c r="G5" i="7"/>
  <c r="F5" i="7"/>
  <c r="E5" i="7"/>
  <c r="D5" i="7"/>
  <c r="C5" i="7"/>
  <c r="B5" i="7"/>
  <c r="L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<sst xmlns="http://schemas.openxmlformats.org/spreadsheetml/2006/main" count="1400" uniqueCount="368">
  <si>
    <t>Name of Farm</t>
  </si>
  <si>
    <t>Sample ID</t>
  </si>
  <si>
    <t>Date</t>
  </si>
  <si>
    <t>Status</t>
  </si>
  <si>
    <t>Status Analysis</t>
  </si>
  <si>
    <t>What is produced</t>
  </si>
  <si>
    <t>What is produced spesific</t>
  </si>
  <si>
    <t>Weight Soil Dry [g] (added to beaker)</t>
  </si>
  <si>
    <t>Nile Red</t>
  </si>
  <si>
    <t>Weather</t>
  </si>
  <si>
    <t>Location</t>
  </si>
  <si>
    <t>Notes - Environment description</t>
  </si>
  <si>
    <t xml:space="preserve">Manual counted Plastic [n/5g] </t>
  </si>
  <si>
    <t>Data Program Counted Plastic [n/5g]</t>
  </si>
  <si>
    <t>Total Rain 24h</t>
  </si>
  <si>
    <t>Avg. Temperature last 24h</t>
  </si>
  <si>
    <t>Kjøreplan</t>
  </si>
  <si>
    <t>Kommuner</t>
  </si>
  <si>
    <t>Longitude</t>
  </si>
  <si>
    <t>Latitude</t>
  </si>
  <si>
    <t>Voll Gård</t>
  </si>
  <si>
    <t>06.24.2026  14:15</t>
  </si>
  <si>
    <t>Finished</t>
  </si>
  <si>
    <t>Finished Nile Red</t>
  </si>
  <si>
    <t>Gress</t>
  </si>
  <si>
    <t>Rainy</t>
  </si>
  <si>
    <t>Trondheim</t>
  </si>
  <si>
    <t>No visible plastic waste</t>
  </si>
  <si>
    <t>06.24.2026 14:30</t>
  </si>
  <si>
    <t>Beite</t>
  </si>
  <si>
    <t>Geit</t>
  </si>
  <si>
    <t>Onsøyen Gård</t>
  </si>
  <si>
    <t>07.01.2026 07:31</t>
  </si>
  <si>
    <t>sunny</t>
  </si>
  <si>
    <t>Spongdal</t>
  </si>
  <si>
    <t>Høyballer, gård, parkeringsplass, veg, elv, skog, agriculture machine, traktor veg</t>
  </si>
  <si>
    <t>07.01.2026 07:39</t>
  </si>
  <si>
    <t>Sau</t>
  </si>
  <si>
    <t>07.01.2026 07:58</t>
  </si>
  <si>
    <t>Korn</t>
  </si>
  <si>
    <t>Bygg</t>
  </si>
  <si>
    <t>07.01.2026 08:23</t>
  </si>
  <si>
    <t>Frøset Østre</t>
  </si>
  <si>
    <t>07.01.2026 10:35</t>
  </si>
  <si>
    <t>Coast, main road, houses,</t>
  </si>
  <si>
    <t>07.01.2026 10:40</t>
  </si>
  <si>
    <t>Hangerslettvegen 605</t>
  </si>
  <si>
    <t>07.01.2026 11:40</t>
  </si>
  <si>
    <t>Ocean, slope, field equipment, housing</t>
  </si>
  <si>
    <t>07.01.2026 11:53</t>
  </si>
  <si>
    <t>Ålberg Gård</t>
  </si>
  <si>
    <t>07.01.2026 12:24</t>
  </si>
  <si>
    <t>Van site, road, hill, vedpose</t>
  </si>
  <si>
    <t>07.01.2026 12:36</t>
  </si>
  <si>
    <t>Snusbonden</t>
  </si>
  <si>
    <t>07.01.2026 09:39</t>
  </si>
  <si>
    <t>Agriculture mchines, skog, gravel driveway</t>
  </si>
  <si>
    <t>07.01.2026 09:47</t>
  </si>
  <si>
    <t>Other</t>
  </si>
  <si>
    <t>Tobakk</t>
  </si>
  <si>
    <t>07.01.2026 10:09</t>
  </si>
  <si>
    <t>Lerdal Øvre</t>
  </si>
  <si>
    <t>07.01.2026 12:15</t>
  </si>
  <si>
    <t>Vei, gård, eng, gjerde</t>
  </si>
  <si>
    <t>07.01.2026 12:23</t>
  </si>
  <si>
    <t>Frimark</t>
  </si>
  <si>
    <t>07.01.2026 12:35</t>
  </si>
  <si>
    <t>Kviset Gård</t>
  </si>
  <si>
    <t>07.01.2026 11:29</t>
  </si>
  <si>
    <t>Ku</t>
  </si>
  <si>
    <t>Kyr, gård</t>
  </si>
  <si>
    <t>07.01.2026 11:37</t>
  </si>
  <si>
    <t>Grønnsak</t>
  </si>
  <si>
    <t>Potet</t>
  </si>
  <si>
    <t>07.01.2026 11:45</t>
  </si>
  <si>
    <t>Gress (poteter for 4 år siden)</t>
  </si>
  <si>
    <t>Spongdalsvegen 473 (oppland gård)</t>
  </si>
  <si>
    <t>07.01.2026 09:22</t>
  </si>
  <si>
    <t>Frukt</t>
  </si>
  <si>
    <t>Bringebær</t>
  </si>
  <si>
    <t>Hus, vei</t>
  </si>
  <si>
    <t>07.01.2026 09:41</t>
  </si>
  <si>
    <t>Jordbær</t>
  </si>
  <si>
    <t>Vei, traktor, vedskjul, høyballplastrull, skog</t>
  </si>
  <si>
    <t>07.01.2026 09:55</t>
  </si>
  <si>
    <t>Havre</t>
  </si>
  <si>
    <t>07.01.2026 10:07</t>
  </si>
  <si>
    <t>Plantasjen</t>
  </si>
  <si>
    <t>07.02.2026 12:09</t>
  </si>
  <si>
    <t>Pose med jord</t>
  </si>
  <si>
    <t>Jord fra posene man får kjøpt på Plantasjen, med hull i</t>
  </si>
  <si>
    <t>07.02.2026 12:32</t>
  </si>
  <si>
    <t>Jord fra planter man kan kjøpe: Eple, Rabarbara, Hageblåbær, Bringebær, Rips, Kruspersille, Citronmelisse, Timian, Rosmarin, Snack Paprika, Rød Chili, Cherry tomat, cocktailtomat</t>
  </si>
  <si>
    <t>Leander Lysklett</t>
  </si>
  <si>
    <t>07.03.2026 06:53</t>
  </si>
  <si>
    <t>Klæbu</t>
  </si>
  <si>
    <t>Bilvei, låve, skog, høyballer,</t>
  </si>
  <si>
    <t>07.03.2026 07:16</t>
  </si>
  <si>
    <t>07.03.2026 07:25</t>
  </si>
  <si>
    <t>07.03.2026 07:45</t>
  </si>
  <si>
    <t>Vangsmo</t>
  </si>
  <si>
    <t>07.03.2026 07:55</t>
  </si>
  <si>
    <t>Filtered</t>
  </si>
  <si>
    <t>Bilvei 80km, grusvei, gård, skog, høyspenningsmast</t>
  </si>
  <si>
    <t>07.03.2026 08:05</t>
  </si>
  <si>
    <t>07.03.2026 08:08</t>
  </si>
  <si>
    <t>07.03.2026 07:59</t>
  </si>
  <si>
    <t>Gress på myr</t>
  </si>
  <si>
    <t>Christine Bertelsen</t>
  </si>
  <si>
    <t>Hest</t>
  </si>
  <si>
    <t>Gjerde, skog, hest, traktorvei, strømmast</t>
  </si>
  <si>
    <t>07.03.2026 07:24</t>
  </si>
  <si>
    <t>Skogsjord</t>
  </si>
  <si>
    <t>07.03.2026 07:32</t>
  </si>
  <si>
    <t>Jonettaplassen Gårdsbarnehage</t>
  </si>
  <si>
    <t>07.03.2026 08:47</t>
  </si>
  <si>
    <t>Sauer, barnehage/hus, gjerde, skog</t>
  </si>
  <si>
    <t>Haugum Gård</t>
  </si>
  <si>
    <t>07.03.2026 08:36</t>
  </si>
  <si>
    <t>Grusvei, hus? Høyspenningsmast rett over åker, litt trær</t>
  </si>
  <si>
    <t>07.03.2026 08:43</t>
  </si>
  <si>
    <t>07.03.2026 08:54</t>
  </si>
  <si>
    <t>Stall Nidelv</t>
  </si>
  <si>
    <t>07.03.2026 09:26</t>
  </si>
  <si>
    <t>Gress med deponi</t>
  </si>
  <si>
    <t xml:space="preserve">Skog med gris, trær, vei, Grusvei, hus/gård, høyspenningsmast </t>
  </si>
  <si>
    <t>07.03.2026 09:39</t>
  </si>
  <si>
    <t>Gris</t>
  </si>
  <si>
    <t>0 og 1</t>
  </si>
  <si>
    <t>16.2 B har 1</t>
  </si>
  <si>
    <t>07.03.2026 09:46</t>
  </si>
  <si>
    <t>07.03.2026 09:25</t>
  </si>
  <si>
    <t>07.03.2026 09:35</t>
  </si>
  <si>
    <t>Grønn Vekst</t>
  </si>
  <si>
    <t>07.03.2026 10:23</t>
  </si>
  <si>
    <t>Grønn Vekst Hagemix</t>
  </si>
  <si>
    <t>Melhus</t>
  </si>
  <si>
    <t>Jordplukk, grus, maskiner</t>
  </si>
  <si>
    <t>Rindalslina 712</t>
  </si>
  <si>
    <t>07.09.2026 08:35</t>
  </si>
  <si>
    <t>Cloudy</t>
  </si>
  <si>
    <t>Rindal</t>
  </si>
  <si>
    <t>StrømGjerde, bil, grusvei, hus</t>
  </si>
  <si>
    <t>07.09.2026 08:43</t>
  </si>
  <si>
    <t>Bilvei, Hus, skog, gård</t>
  </si>
  <si>
    <t>07.09.2026 08:51</t>
  </si>
  <si>
    <t>Bilvei, skog, gård</t>
  </si>
  <si>
    <t>07.09.2026 09:00</t>
  </si>
  <si>
    <t>Bensinstasjon, høyballer, skog, bilvei</t>
  </si>
  <si>
    <t>Halgunsetvegen 117</t>
  </si>
  <si>
    <t>07.09.2026 10:20</t>
  </si>
  <si>
    <t>Høyballer, grusvei, skog, skrått terreng</t>
  </si>
  <si>
    <t>07.09.2026 10:28</t>
  </si>
  <si>
    <t>Lagring av Høyballer</t>
  </si>
  <si>
    <t>Høyballer, gress, skog, grusvei, stor skråning</t>
  </si>
  <si>
    <t>07.09.2026 10:37</t>
  </si>
  <si>
    <t>Skog, gressplen, elv, gård langt unna</t>
  </si>
  <si>
    <t>07.09.2026 10:53</t>
  </si>
  <si>
    <t>Grusvei, skog, elektrisk gjerde, gård/fjøs</t>
  </si>
  <si>
    <t>NABO Halgunsetvegen 117</t>
  </si>
  <si>
    <t>07.09.2026 11:09</t>
  </si>
  <si>
    <t>Litt regn, mest cloudy, grusvei, gårder, trær, høyballer, kuer</t>
  </si>
  <si>
    <t>Solhus gård</t>
  </si>
  <si>
    <t>07.09.2026 13:13</t>
  </si>
  <si>
    <t>Orkland</t>
  </si>
  <si>
    <t>Bilvei, beiteåker, grusvei, andre åker</t>
  </si>
  <si>
    <t>07.09.2026 13:30</t>
  </si>
  <si>
    <t>Trær, bilvei, traktorvei</t>
  </si>
  <si>
    <t>07.09.2026 13:50</t>
  </si>
  <si>
    <t>Korn rundt potet, skog, bilvei</t>
  </si>
  <si>
    <t>07.09.2026 14:07</t>
  </si>
  <si>
    <t>Bilvei, høyspenningsmast, gård og høyballer, i en skråning</t>
  </si>
  <si>
    <t>07.09.2026 14:21</t>
  </si>
  <si>
    <t>Bilvei, hus og gård, hage, innkjørsel</t>
  </si>
  <si>
    <t>Aunbygdvegen 40</t>
  </si>
  <si>
    <t>07.09.2026 15:08</t>
  </si>
  <si>
    <t>Sunny</t>
  </si>
  <si>
    <t>Skaun</t>
  </si>
  <si>
    <t>Bilvei, gård, hage glasshus</t>
  </si>
  <si>
    <t>07.09.2026 15:16</t>
  </si>
  <si>
    <t>Høyballer, bod, bilvei, grusvei, trær</t>
  </si>
  <si>
    <t>07.09.2026 15:39</t>
  </si>
  <si>
    <t>Bilvei, hus, strømlinje, høyballer</t>
  </si>
  <si>
    <t>07.09.2026 15:47</t>
  </si>
  <si>
    <t>Bilvei, åkre, hus og gård</t>
  </si>
  <si>
    <t>Øver Bortn Gård</t>
  </si>
  <si>
    <t>07.10.2026 07:45</t>
  </si>
  <si>
    <t>Macroplastic, gjerd, skog, house, farm vehicles</t>
  </si>
  <si>
    <t>07.10.2026 07:53</t>
  </si>
  <si>
    <t>Farm, river, wagon road, goat house, forrest</t>
  </si>
  <si>
    <t>07.10.2026 08:04</t>
  </si>
  <si>
    <t>Farmhouse, Tractor, small road, forest</t>
  </si>
  <si>
    <t>Rofstadbakken</t>
  </si>
  <si>
    <t>07.10.2026 08:36</t>
  </si>
  <si>
    <t>Tractor, houses, skog, barn , slope</t>
  </si>
  <si>
    <t>07.10.2026 08:50</t>
  </si>
  <si>
    <t>Bees, river, forest, wagon road</t>
  </si>
  <si>
    <t>07.10.2026 09:08</t>
  </si>
  <si>
    <t>School, road, electrical grid</t>
  </si>
  <si>
    <t>Gislaug Loddgård</t>
  </si>
  <si>
    <t>07.10.2026 09:58</t>
  </si>
  <si>
    <t>Farm, road, church, forest</t>
  </si>
  <si>
    <t>07.10.2026 10:11</t>
  </si>
  <si>
    <t>Hvete</t>
  </si>
  <si>
    <t xml:space="preserve">House, church, </t>
  </si>
  <si>
    <t>07.10.2026 10:18</t>
  </si>
  <si>
    <t>Forest, farm, walking trail, cute cat</t>
  </si>
  <si>
    <t>Dalan gård</t>
  </si>
  <si>
    <t>07.10.2026 11:12</t>
  </si>
  <si>
    <t>Haybales, farmhouses, roads</t>
  </si>
  <si>
    <t>07.10.2026 11:25</t>
  </si>
  <si>
    <t xml:space="preserve">Høyeball, skog, house, wagon road, agricultural equipment </t>
  </si>
  <si>
    <t>07.10.2026 11:40</t>
  </si>
  <si>
    <t>1 og 0</t>
  </si>
  <si>
    <t>House, høyball, grusveg, skog, outdoor adventure park</t>
  </si>
  <si>
    <t>Skarsem gård</t>
  </si>
  <si>
    <t>07.10.2026 12:56</t>
  </si>
  <si>
    <t>Houses, høyball, forest</t>
  </si>
  <si>
    <t>07.10.2026 13:02</t>
  </si>
  <si>
    <t>Same as 26.1</t>
  </si>
  <si>
    <t>07.10.2026 13:09</t>
  </si>
  <si>
    <t>Horse, houses, agricultural vehicles, høyball,</t>
  </si>
  <si>
    <t>07.10.2026 13:15</t>
  </si>
  <si>
    <t xml:space="preserve">Europaler, forest, houses, grusveg, </t>
  </si>
  <si>
    <t>Nordtømmesvegen 151</t>
  </si>
  <si>
    <t>07.10.2026 07:03</t>
  </si>
  <si>
    <t>Planks, cars, farm vehicles, skog,  houses, electrical grid</t>
  </si>
  <si>
    <t>Røstad øvre</t>
  </si>
  <si>
    <t>07.15.2026 08:40:11.594</t>
  </si>
  <si>
    <t>Levanger</t>
  </si>
  <si>
    <t>Farm, Road, vegetables</t>
  </si>
  <si>
    <t>07.15.2026 08:52:31.434</t>
  </si>
  <si>
    <t>Kål</t>
  </si>
  <si>
    <t>Traktor, vei, grønnsaker, jorde</t>
  </si>
  <si>
    <t>07.15.2026 08:57:59.038</t>
  </si>
  <si>
    <t>Closer to the Main Road, traktor, grønnsaker</t>
  </si>
  <si>
    <t>07.15.2026 09:07:48.036</t>
  </si>
  <si>
    <t>Brokolini</t>
  </si>
  <si>
    <t>Road, House, grønnsaksproduksjon</t>
  </si>
  <si>
    <t>07.15.2026 09:29:01.851</t>
  </si>
  <si>
    <t>Gulrot</t>
  </si>
  <si>
    <t>Vei. Hus</t>
  </si>
  <si>
    <t>07.15.2026 09:42:54.828</t>
  </si>
  <si>
    <t>Near main road, insekt farm, house, road</t>
  </si>
  <si>
    <t>Håa gård</t>
  </si>
  <si>
    <t>07.15.2026 10:21:46.001</t>
  </si>
  <si>
    <t>Tractor, trees, road,</t>
  </si>
  <si>
    <t>07.15.2026 10:28:36.930</t>
  </si>
  <si>
    <t>Tractor, road, tree</t>
  </si>
  <si>
    <t>07.15.2026 10:36:02.230</t>
  </si>
  <si>
    <t>Vei, traktor, gård og biler</t>
  </si>
  <si>
    <t>07.15.2026 10:45:05.195</t>
  </si>
  <si>
    <t>Road, farm, tractor</t>
  </si>
  <si>
    <t>Fostad nordre</t>
  </si>
  <si>
    <t>07.15.2026 12:12:19.882</t>
  </si>
  <si>
    <t>Høyballer, vei, gård</t>
  </si>
  <si>
    <t>07.15.2026 12:51:32.651</t>
  </si>
  <si>
    <t>Road, farm</t>
  </si>
  <si>
    <t>Søstrene Moksnes</t>
  </si>
  <si>
    <t>07.17.2026 07:49:53.925</t>
  </si>
  <si>
    <t>Pære</t>
  </si>
  <si>
    <t>2 og 2</t>
  </si>
  <si>
    <t>Frosta</t>
  </si>
  <si>
    <t>07.17.2026 07:59:51.255</t>
  </si>
  <si>
    <t>Havre åker, bygg åker, strømnett</t>
  </si>
  <si>
    <t>07.17.2026 08:09:32.800</t>
  </si>
  <si>
    <t>Vei, flere åker typer</t>
  </si>
  <si>
    <t>07.17.2026 08:15:28.913</t>
  </si>
  <si>
    <t>Allerede høsta potet</t>
  </si>
  <si>
    <t>2 og 0</t>
  </si>
  <si>
    <t>Høsta åker, nærme fjorden</t>
  </si>
  <si>
    <t>Myraunet gård</t>
  </si>
  <si>
    <t>07.17.2026 09:05:13.428</t>
  </si>
  <si>
    <t>Many things, noncommercial</t>
  </si>
  <si>
    <t>Forest, plastic tents (for growing vegetables)</t>
  </si>
  <si>
    <t>07.17.2026 09:18:38.973</t>
  </si>
  <si>
    <t>6 og 3</t>
  </si>
  <si>
    <t>Next to road, farmhouse, forrest</t>
  </si>
  <si>
    <t>Hellberg gård</t>
  </si>
  <si>
    <t>07.17.2026 09:43:29.153</t>
  </si>
  <si>
    <t>Sau, Ku</t>
  </si>
  <si>
    <t>Forest, fjord,</t>
  </si>
  <si>
    <t>07.17.2026 09:52:03.298</t>
  </si>
  <si>
    <t>Eple</t>
  </si>
  <si>
    <t>Vegtebale net, sea, slope, selskaps lokale</t>
  </si>
  <si>
    <t>07.17.2026 10:04:53.771</t>
  </si>
  <si>
    <t>Gårdshus, vei, fjord, skog</t>
  </si>
  <si>
    <t>Ola Fiskvik</t>
  </si>
  <si>
    <t>07.17.2026 11:43:46.426</t>
  </si>
  <si>
    <t>Stjørdal</t>
  </si>
  <si>
    <t>Farm, train track, powerlines</t>
  </si>
  <si>
    <t>07.17.2026 11:55:06.772</t>
  </si>
  <si>
    <t>1 og 2</t>
  </si>
  <si>
    <t>Electric net, houses, road, trees,</t>
  </si>
  <si>
    <t>07.17.2026 11:59:44.220</t>
  </si>
  <si>
    <t>Some wheat in outskirts, farm, road, cat, forrest</t>
  </si>
  <si>
    <t>Kindseth gård</t>
  </si>
  <si>
    <t>07.17.2026 12:46:13.354</t>
  </si>
  <si>
    <t>Forest, electrical fence</t>
  </si>
  <si>
    <t>07.17.2026 12:50:24.742</t>
  </si>
  <si>
    <t>Forest</t>
  </si>
  <si>
    <t>Julseth østre</t>
  </si>
  <si>
    <t>07.22.2026 07:32:32.720</t>
  </si>
  <si>
    <t>Selbu</t>
  </si>
  <si>
    <t>Grusvei, gård, bilvei</t>
  </si>
  <si>
    <t>07.22.2026 07:40:13.831</t>
  </si>
  <si>
    <t>Bilvei, gård,</t>
  </si>
  <si>
    <t>07.22.2026 07:49:38.767</t>
  </si>
  <si>
    <t>Høyspenningsmast, plastgjerde/strømgjerde</t>
  </si>
  <si>
    <t>07.22.2026 08:04:12.549</t>
  </si>
  <si>
    <t>Høyspenningsmast, rundballer, skog, grusvei</t>
  </si>
  <si>
    <t>07.22.2026 08:12:11.064</t>
  </si>
  <si>
    <t>Grusvei, gård, høyspenningsmast, skog</t>
  </si>
  <si>
    <t>Brennmoen gård</t>
  </si>
  <si>
    <t>07.22.2026 08:52:01.129</t>
  </si>
  <si>
    <t>Rundpaller, dyr (frittgående høns), gård, gårdutstyr</t>
  </si>
  <si>
    <t>07.22.2026 09:03:47.867</t>
  </si>
  <si>
    <t>Bilvei, rundballer, skog, elv</t>
  </si>
  <si>
    <t>07.22.2026 09:24:04.649</t>
  </si>
  <si>
    <t>Geit, skog, hus, rundballer, skyr, elv, gjerde</t>
  </si>
  <si>
    <t>Rolset sag</t>
  </si>
  <si>
    <t>07.22.2026 11:11:29.007</t>
  </si>
  <si>
    <t>Gård, lite pukkverk, grusvei</t>
  </si>
  <si>
    <t>Alpakkalia</t>
  </si>
  <si>
    <t>07.22.2026 12:36:21.095</t>
  </si>
  <si>
    <t>Alpakka</t>
  </si>
  <si>
    <t>Gård, grusvei, bilvei</t>
  </si>
  <si>
    <t>07.22.2026 12:59:57.307</t>
  </si>
  <si>
    <t>Alpakka, gård, skog,</t>
  </si>
  <si>
    <t>07.22.2026 13:12:41.479</t>
  </si>
  <si>
    <t>Grusvei, hus, gjerde</t>
  </si>
  <si>
    <t>Berge gård</t>
  </si>
  <si>
    <t>07.22.2026 13:36:52.227</t>
  </si>
  <si>
    <t>Hus, åker, grusvei</t>
  </si>
  <si>
    <t>07.22.2026 13:49:23.646</t>
  </si>
  <si>
    <t>Hus, grusvei, grusvei</t>
  </si>
  <si>
    <t>07.22.2026 14:07:11.612</t>
  </si>
  <si>
    <t>Grusvei, rundballer, hus, elektrisk gjerde</t>
  </si>
  <si>
    <t>07.22.2026 14:30:10.624</t>
  </si>
  <si>
    <t>Grusvei, hus, gjerde,</t>
  </si>
  <si>
    <t>07.22.2026 14:42:12.490</t>
  </si>
  <si>
    <t>Elv, skog, bilvei, hus</t>
  </si>
  <si>
    <t>07.22.2026 14:57:47.619</t>
  </si>
  <si>
    <t>Grusvei, bilvei, elv, hus, bilerrrr</t>
  </si>
  <si>
    <t>07.22.2026 15:16:46.609</t>
  </si>
  <si>
    <t>Grusvei, høyspenningsmast</t>
  </si>
  <si>
    <t>Total Samples</t>
  </si>
  <si>
    <t>Gathered</t>
  </si>
  <si>
    <t>Tray</t>
  </si>
  <si>
    <t>Dryed</t>
  </si>
  <si>
    <t>Sieved</t>
  </si>
  <si>
    <t>Dissolved</t>
  </si>
  <si>
    <t>Analysing</t>
  </si>
  <si>
    <t>Finished SIC</t>
  </si>
  <si>
    <t>Regions</t>
  </si>
  <si>
    <t>What is Produced</t>
  </si>
  <si>
    <t>Malvik</t>
  </si>
  <si>
    <t>Sum</t>
  </si>
  <si>
    <t>Gjennomsnitt</t>
  </si>
  <si>
    <t>Median</t>
  </si>
  <si>
    <t>Sum of plastic found</t>
  </si>
  <si>
    <t>Count if yes</t>
  </si>
  <si>
    <t>Total</t>
  </si>
  <si>
    <t>Kommune</t>
  </si>
  <si>
    <t>Antall prøver</t>
  </si>
  <si>
    <t>Antall totale mikroplastpartikler</t>
  </si>
  <si>
    <t>Gjennomsnittlig antall mikroplastpartikler</t>
  </si>
  <si>
    <t>Annet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</si>
</sst>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1"/>
      <color theme="1"/>
      <name val="Calibri"/>
      <family val="2"/>
      <scheme val="minor"/>
    </font>
    <font>
      <sz val="11"/>
      <color rgb="FF000000"/>
      <name val="Aptos Narrow"/>
      <family val="2"/>
    </font>
    <font>
      <b/>
      <sz val="11"/>
      <color rgb="FF000000"/>
      <name val="Aptos Narrow"/>
      <family val="2"/>
    </font>
    <font>
      <b/>
      <sz val="11"/>
      <color rgb="FF000000"/>
      <name val="Calibri"/>
      <family val="2"/>
    </font>
    <font>
      <b/>
      <sz val="11"/>
      <color rgb="FF000000"/>
      <name val="Calibri"/>
      <family val="2"/>
      <scheme val="minor"/>
    </font>
    <font>
      <sz val="11"/>
      <color rgb="FF000000"/>
      <name val="Calibri"/>
      <family val="2"/>
      <scheme val="minor"/>
    </font>
    <font>
      <sz val="11"/>
      <color rgb="FF000000"/>
      <name val="Aptos Narrow"/>
    </font>
    <font>
      <sz val="11"/>
      <color rgb="FF000000"/>
      <name val="Aptos Narrow"/>
    </font>
    <font>
      <b/>
      <sz val="15"/>
      <color theme="3"/>
      <name val="Calibri"/>
      <family val="2"/>
      <scheme val="minor"/>
    </font>
    <font>
      <sz val="11"/>
      <name val="Aptos Narrow"/>
    </font>
    <font>
      <b/>
      <sz val="11"/>
      <color rgb="FF000000"/>
      <name val="Calibri"/>
      <family val="2"/>
    </font>
    <font>
      <sz val="11"/>
      <color rgb="FF000000"/>
      <name val="Calibri"/>
      <family val="2"/>
    </font>
  </fonts>
  <fills count="5">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22">
    <border>
      <left/>
      <right/>
      <top/>
      <bottom/>
      <diagonal/>
    </border>
    <border>
      <left/>
      <right/>
      <top/>
      <bottom style="thick">
        <color theme="4"/>
      </bottom>
      <diagonal/>
    </border>
    <border>
      <left style="medium">
        <color indexed="64"/>
      </left>
      <right/>
      <top/>
      <bottom/>
      <diagonal/>
    </border>
    <border>
      <left/>
      <right style="medium">
        <color indexed="64"/>
      </right>
      <top/>
      <bottom/>
      <diagonal/>
    </border>
    <border>
      <left/>
      <right/>
      <top style="thick">
        <color theme="4"/>
      </top>
      <bottom style="medium">
        <color indexed="64"/>
      </bottom>
      <diagonal/>
    </border>
    <border>
      <left/>
      <right style="medium">
        <color indexed="64"/>
      </right>
      <top style="thick">
        <color theme="4"/>
      </top>
      <bottom style="medium">
        <color indexed="64"/>
      </bottom>
      <diagonal/>
    </border>
    <border>
      <left/>
      <right/>
      <top style="medium">
        <color indexed="64"/>
      </top>
      <bottom style="thick">
        <color theme="4"/>
      </bottom>
      <diagonal/>
    </border>
    <border>
      <left style="medium">
        <color indexed="64"/>
      </left>
      <right/>
      <top style="medium">
        <color indexed="64"/>
      </top>
      <bottom/>
      <diagonal/>
    </border>
    <border>
      <left style="medium">
        <color indexed="64"/>
      </left>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indexed="64"/>
      </top>
      <bottom/>
      <diagonal/>
    </border>
    <border>
      <left/>
      <right/>
      <top/>
      <bottom style="thin">
        <color indexed="64"/>
      </bottom>
      <diagonal/>
    </border>
    <border>
      <left style="medium">
        <color rgb="FF000000"/>
      </left>
      <right style="medium">
        <color rgb="FF000000"/>
      </right>
      <top/>
      <bottom/>
      <diagonal/>
    </border>
  </borders>
  <cellStyleXfs count="2">
    <xf numFmtId="0" fontId="0" fillId="0" borderId="0"/>
    <xf numFmtId="0" fontId="9" fillId="0" borderId="1" applyNumberFormat="0" applyFill="0" applyAlignment="0" applyProtection="0"/>
  </cellStyleXfs>
  <cellXfs count="61">
    <xf numFmtId="0" fontId="0" fillId="0" borderId="0" xfId="0"/>
    <xf numFmtId="0" fontId="1" fillId="0" borderId="0" xfId="0" applyFont="1"/>
    <xf numFmtId="49" fontId="1" fillId="0" borderId="0" xfId="0" applyNumberFormat="1" applyFont="1"/>
    <xf numFmtId="49" fontId="0" fillId="0" borderId="0" xfId="0" applyNumberFormat="1"/>
    <xf numFmtId="14" fontId="0" fillId="0" borderId="0" xfId="0" applyNumberFormat="1"/>
    <xf numFmtId="0" fontId="2" fillId="0" borderId="0" xfId="0" applyFont="1"/>
    <xf numFmtId="0" fontId="5" fillId="0" borderId="0" xfId="0" applyFont="1"/>
    <xf numFmtId="0" fontId="6" fillId="0" borderId="0" xfId="0" applyFont="1"/>
    <xf numFmtId="0" fontId="7" fillId="0" borderId="0" xfId="0" applyFont="1"/>
    <xf numFmtId="0" fontId="0" fillId="2" borderId="0" xfId="0" applyFill="1"/>
    <xf numFmtId="0" fontId="0" fillId="3" borderId="0" xfId="0" applyFill="1"/>
    <xf numFmtId="0" fontId="2" fillId="0" borderId="2" xfId="0" applyFont="1" applyBorder="1"/>
    <xf numFmtId="0" fontId="2" fillId="0" borderId="3" xfId="0" applyFont="1" applyBorder="1"/>
    <xf numFmtId="0" fontId="0" fillId="0" borderId="2" xfId="0" applyBorder="1"/>
    <xf numFmtId="0" fontId="0" fillId="0" borderId="3" xfId="0" applyBorder="1"/>
    <xf numFmtId="0" fontId="8" fillId="0" borderId="2" xfId="0" applyFont="1" applyBorder="1"/>
    <xf numFmtId="0" fontId="8" fillId="0" borderId="0" xfId="0" applyFont="1"/>
    <xf numFmtId="0" fontId="3" fillId="0" borderId="4" xfId="0" applyFont="1" applyBorder="1"/>
    <xf numFmtId="0" fontId="3" fillId="0" borderId="5" xfId="0" applyFont="1" applyBorder="1"/>
    <xf numFmtId="0" fontId="4" fillId="0" borderId="4" xfId="0" applyFont="1" applyBorder="1"/>
    <xf numFmtId="0" fontId="4" fillId="0" borderId="5" xfId="0" applyFont="1" applyBorder="1"/>
    <xf numFmtId="0" fontId="10" fillId="0" borderId="0" xfId="0" applyFont="1"/>
    <xf numFmtId="0" fontId="1" fillId="0" borderId="7" xfId="0" applyFont="1" applyBorder="1"/>
    <xf numFmtId="0" fontId="1" fillId="0" borderId="2" xfId="0" applyFont="1" applyBorder="1"/>
    <xf numFmtId="0" fontId="1" fillId="0" borderId="8" xfId="0" applyFont="1"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10" fillId="4" borderId="0" xfId="0" applyFont="1" applyFill="1"/>
    <xf numFmtId="0" fontId="2" fillId="4" borderId="0" xfId="0" applyFont="1" applyFill="1"/>
    <xf numFmtId="17" fontId="2" fillId="0" borderId="0" xfId="0" applyNumberFormat="1" applyFont="1"/>
    <xf numFmtId="0" fontId="1" fillId="0" borderId="9" xfId="0" applyFont="1" applyBorder="1"/>
    <xf numFmtId="0" fontId="1" fillId="0" borderId="17" xfId="0" applyFont="1" applyBorder="1"/>
    <xf numFmtId="0" fontId="1" fillId="0" borderId="18" xfId="0" applyFont="1" applyBorder="1"/>
    <xf numFmtId="0" fontId="1" fillId="0" borderId="12" xfId="0" applyFont="1" applyBorder="1"/>
    <xf numFmtId="0" fontId="1" fillId="0" borderId="19" xfId="0" applyFont="1" applyBorder="1"/>
    <xf numFmtId="0" fontId="0" fillId="0" borderId="18" xfId="0" applyBorder="1"/>
    <xf numFmtId="164" fontId="0" fillId="0" borderId="0" xfId="0" applyNumberFormat="1"/>
    <xf numFmtId="0" fontId="12" fillId="0" borderId="0" xfId="0" applyFont="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1" fillId="0" borderId="12" xfId="0" applyFont="1" applyBorder="1" applyAlignment="1">
      <alignment horizontal="center"/>
    </xf>
    <xf numFmtId="0" fontId="0" fillId="0" borderId="0" xfId="0" applyAlignment="1">
      <alignment horizontal="center"/>
    </xf>
    <xf numFmtId="164" fontId="0" fillId="0" borderId="13" xfId="0" applyNumberFormat="1" applyBorder="1" applyAlignment="1">
      <alignment horizontal="center"/>
    </xf>
    <xf numFmtId="0" fontId="11" fillId="0" borderId="14" xfId="0" applyFont="1" applyBorder="1" applyAlignment="1">
      <alignment horizontal="center"/>
    </xf>
    <xf numFmtId="0" fontId="12" fillId="0" borderId="15" xfId="0" applyFont="1" applyBorder="1" applyAlignment="1">
      <alignment horizontal="center"/>
    </xf>
    <xf numFmtId="0" fontId="0" fillId="0" borderId="15" xfId="0" applyBorder="1" applyAlignment="1">
      <alignment horizontal="center"/>
    </xf>
    <xf numFmtId="164" fontId="0" fillId="0" borderId="16" xfId="0" applyNumberFormat="1" applyBorder="1" applyAlignment="1">
      <alignment horizontal="center"/>
    </xf>
    <xf numFmtId="0" fontId="0" fillId="0" borderId="21" xfId="0" applyBorder="1"/>
    <xf numFmtId="0" fontId="0" fillId="0" borderId="20" xfId="0" applyBorder="1"/>
    <xf numFmtId="0" fontId="1" fillId="0" borderId="20" xfId="0" applyFont="1" applyBorder="1"/>
    <xf numFmtId="0" fontId="9" fillId="0" borderId="1" xfId="1" applyAlignment="1">
      <alignment horizontal="center" wrapText="1"/>
    </xf>
    <xf numFmtId="0" fontId="9" fillId="0" borderId="6" xfId="1" applyBorder="1" applyAlignment="1">
      <alignment horizontal="center"/>
    </xf>
    <xf numFmtId="0" fontId="9" fillId="0" borderId="1" xfId="1" applyAlignment="1">
      <alignment horizontal="center" vertical="center" wrapText="1"/>
    </xf>
    <xf numFmtId="0" fontId="9" fillId="0" borderId="1" xfId="1" applyAlignment="1">
      <alignment horizontal="center"/>
    </xf>
  </cellXfs>
  <cellStyles count="2">
    <cellStyle name="Heading 1" xfId="1" builtinId="16"/>
    <cellStyle name="Normal" xfId="0" builtinId="0"/>
  </cellStyles>
  <dxfs count="17">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theme="8" tint="0.39994506668294322"/>
        </patternFill>
      </fill>
    </dxf>
    <dxf>
      <fill>
        <patternFill>
          <bgColor theme="4" tint="0.39994506668294322"/>
        </patternFill>
      </fill>
    </dxf>
    <dxf>
      <font>
        <color rgb="FF9C0006"/>
      </font>
      <fill>
        <patternFill patternType="solid">
          <bgColor rgb="FFF8696B"/>
        </patternFill>
      </fill>
    </dxf>
    <dxf>
      <font>
        <color rgb="FF9C0006"/>
      </font>
      <fill>
        <patternFill patternType="solid">
          <bgColor rgb="FFFCB47A"/>
        </patternFill>
      </fill>
    </dxf>
    <dxf>
      <font>
        <color rgb="FF9C5700"/>
      </font>
      <fill>
        <patternFill>
          <bgColor rgb="FFFFEB9C"/>
        </patternFill>
      </fill>
    </dxf>
    <dxf>
      <font>
        <color rgb="FF63BE7B"/>
      </font>
      <fill>
        <patternFill patternType="solid">
          <bgColor rgb="FFE8E482"/>
        </patternFill>
      </fill>
    </dxf>
    <dxf>
      <font>
        <color rgb="FF00B050"/>
      </font>
      <fill>
        <patternFill patternType="solid">
          <bgColor rgb="FFBCD780"/>
        </patternFill>
      </fill>
    </dxf>
    <dxf>
      <font>
        <color rgb="FF002060"/>
      </font>
      <fill>
        <patternFill patternType="solid">
          <bgColor rgb="FFC3DA6E"/>
        </patternFill>
      </fill>
    </dxf>
    <dxf>
      <font>
        <color rgb="FF006100"/>
      </font>
      <fill>
        <patternFill patternType="solid">
          <bgColor rgb="FF63BE7B"/>
        </patternFill>
      </fill>
    </dxf>
    <dxf>
      <font>
        <b val="0"/>
        <i val="0"/>
        <color theme="9" tint="-0.499984740745262"/>
      </font>
      <fill>
        <patternFill patternType="solid">
          <bgColor rgb="FF00B050"/>
        </patternFill>
      </fill>
    </dxf>
  </dxfs>
  <tableStyles count="0" defaultTableStyle="TableStyleMedium2" defaultPivotStyle="PivotStyleMedium9"/>
  <colors>
    <mruColors>
      <color rgb="FFC3DA6E"/>
      <color rgb="FFBCD780"/>
      <color rgb="FF63BE7B"/>
      <color rgb="FF8FCA7D"/>
      <color rgb="FFE8E482"/>
      <color rgb="FFFFD981"/>
      <color rgb="FFFCB47A"/>
      <color rgb="FFF869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data id="5">
      <cx:numDim type="val">
        <cx:f>_xlchart.v1.11</cx:f>
      </cx:numDim>
    </cx:data>
    <cx:data id="6">
      <cx:numDim type="val">
        <cx:f>_xlchart.v1.13</cx:f>
      </cx:numDim>
    </cx:data>
    <cx:data id="7">
      <cx:numDim type="val">
        <cx:f>_xlchart.v1.15</cx:f>
      </cx:numDim>
    </cx:data>
    <cx:data id="8">
      <cx:numDim type="val">
        <cx:f>_xlchart.v1.17</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Mikroplast i komuner i Trøndelag</a:t>
            </a:r>
            <a:endParaRPr lang="en-US">
              <a:effectLst/>
            </a:endParaRPr>
          </a:p>
        </cx:rich>
      </cx:tx>
    </cx:title>
    <cx:plotArea>
      <cx:plotAreaRegion>
        <cx:series layoutId="boxWhisker" uniqueId="{00000000-5457-4B87-97A8-F5AD540EA1DC}">
          <cx:tx>
            <cx:txData>
              <cx:f>_xlchart.v1.0</cx:f>
              <cx:v>Trondheim</cx:v>
            </cx:txData>
          </cx:tx>
          <cx:dataId val="0"/>
          <cx:layoutPr>
            <cx:visibility meanLine="1" meanMarker="1" nonoutliers="0" outliers="1"/>
            <cx:statistics quartileMethod="exclusive"/>
          </cx:layoutPr>
        </cx:series>
        <cx:series layoutId="boxWhisker" uniqueId="{00000001-5457-4B87-97A8-F5AD540EA1DC}">
          <cx:tx>
            <cx:txData>
              <cx:f>_xlchart.v1.2</cx:f>
              <cx:v>Melhus</cx:v>
            </cx:txData>
          </cx:tx>
          <cx:dataId val="1"/>
          <cx:layoutPr>
            <cx:visibility meanLine="1" meanMarker="1" nonoutliers="0" outliers="1"/>
            <cx:statistics quartileMethod="exclusive"/>
          </cx:layoutPr>
        </cx:series>
        <cx:series layoutId="boxWhisker" uniqueId="{00000002-5457-4B87-97A8-F5AD540EA1DC}">
          <cx:tx>
            <cx:txData>
              <cx:f>_xlchart.v1.4</cx:f>
              <cx:v>Rindal</cx:v>
            </cx:txData>
          </cx:tx>
          <cx:dataId val="2"/>
          <cx:layoutPr>
            <cx:visibility meanLine="1" meanMarker="1" nonoutliers="0" outliers="1"/>
            <cx:statistics quartileMethod="exclusive"/>
          </cx:layoutPr>
        </cx:series>
        <cx:series layoutId="boxWhisker" uniqueId="{00000003-5457-4B87-97A8-F5AD540EA1DC}">
          <cx:tx>
            <cx:txData>
              <cx:f>_xlchart.v1.6</cx:f>
              <cx:v>Orkland</cx:v>
            </cx:txData>
          </cx:tx>
          <cx:dataId val="3"/>
          <cx:layoutPr>
            <cx:visibility meanLine="1" meanMarker="1" nonoutliers="0" outliers="1"/>
            <cx:statistics quartileMethod="exclusive"/>
          </cx:layoutPr>
        </cx:series>
        <cx:series layoutId="boxWhisker" uniqueId="{00000004-5457-4B87-97A8-F5AD540EA1DC}">
          <cx:tx>
            <cx:txData>
              <cx:f>_xlchart.v1.8</cx:f>
              <cx:v>Skaun</cx:v>
            </cx:txData>
          </cx:tx>
          <cx:dataId val="4"/>
          <cx:layoutPr>
            <cx:visibility meanLine="1" meanMarker="1" nonoutliers="0" outliers="1"/>
            <cx:statistics quartileMethod="exclusive"/>
          </cx:layoutPr>
        </cx:series>
        <cx:series layoutId="boxWhisker" uniqueId="{00000005-5457-4B87-97A8-F5AD540EA1DC}">
          <cx:tx>
            <cx:txData>
              <cx:f>_xlchart.v1.10</cx:f>
              <cx:v>Levanger</cx:v>
            </cx:txData>
          </cx:tx>
          <cx:dataId val="5"/>
          <cx:layoutPr>
            <cx:visibility meanLine="1" meanMarker="1" nonoutliers="0" outliers="1"/>
            <cx:statistics quartileMethod="exclusive"/>
          </cx:layoutPr>
        </cx:series>
        <cx:series layoutId="boxWhisker" uniqueId="{00000006-5457-4B87-97A8-F5AD540EA1DC}">
          <cx:tx>
            <cx:txData>
              <cx:f>_xlchart.v1.12</cx:f>
              <cx:v>Frosta</cx:v>
            </cx:txData>
          </cx:tx>
          <cx:dataId val="6"/>
          <cx:layoutPr>
            <cx:visibility meanLine="1" meanMarker="1" nonoutliers="0" outliers="1"/>
            <cx:statistics quartileMethod="exclusive"/>
          </cx:layoutPr>
        </cx:series>
        <cx:series layoutId="boxWhisker" uniqueId="{00000007-5457-4B87-97A8-F5AD540EA1DC}">
          <cx:tx>
            <cx:txData>
              <cx:f>_xlchart.v1.14</cx:f>
              <cx:v>Stjørdal</cx:v>
            </cx:txData>
          </cx:tx>
          <cx:dataId val="7"/>
          <cx:layoutPr>
            <cx:visibility meanLine="1" meanMarker="1" nonoutliers="0" outliers="1"/>
            <cx:statistics quartileMethod="exclusive"/>
          </cx:layoutPr>
        </cx:series>
        <cx:series layoutId="boxWhisker" uniqueId="{00000008-5457-4B87-97A8-F5AD540EA1DC}">
          <cx:tx>
            <cx:txData>
              <cx:f>_xlchart.v1.16</cx:f>
              <cx:v>Selbu</cx:v>
            </cx:txData>
          </cx:tx>
          <cx:dataId val="8"/>
          <cx:layoutPr>
            <cx:visibility meanLine="1" meanMarker="1" nonoutliers="0" outliers="1"/>
            <cx:statistics quartileMethod="exclusive"/>
          </cx:layoutPr>
        </cx:series>
      </cx:plotAreaRegion>
      <cx:axis id="0" hidden="1">
        <cx:catScaling gapWidth="1"/>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b"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_xlchart.v1.19</cx:f>
      </cx:numDim>
    </cx:data>
    <cx:data id="1">
      <cx:numDim type="val">
        <cx:f>_xlchart.v1.21</cx:f>
      </cx:numDim>
    </cx:data>
    <cx:data id="2">
      <cx:numDim type="val">
        <cx:f>_xlchart.v1.23</cx:f>
      </cx:numDim>
    </cx:data>
    <cx:data id="3">
      <cx:numDim type="val">
        <cx:f>_xlchart.v1.25</cx:f>
      </cx:numDim>
    </cx:data>
    <cx:data id="4">
      <cx:numDim type="val">
        <cx:f>_xlchart.v1.27</cx:f>
      </cx:numDim>
    </cx:data>
    <cx:data id="5">
      <cx:numDim type="val">
        <cx:f>_xlchart.v1.29</cx:f>
      </cx:numDim>
    </cx:data>
  </cx:chartData>
  <cx:chart>
    <cx:title pos="t" align="ctr" overlay="0">
      <cx:tx>
        <cx:txData>
          <cx:v>Målt mikroplast i ulike landbruksarealer</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Målt mikroplast i ulike landbruksarealer</a:t>
          </a:r>
        </a:p>
      </cx:txPr>
    </cx:title>
    <cx:plotArea>
      <cx:plotAreaRegion>
        <cx:series layoutId="boxWhisker" uniqueId="{00000000-8D4A-4064-88DE-9319D9833058}">
          <cx:tx>
            <cx:txData>
              <cx:f>_xlchart.v1.18</cx:f>
              <cx:v>Gress</cx:v>
            </cx:txData>
          </cx:tx>
          <cx:dataId val="0"/>
          <cx:layoutPr>
            <cx:visibility meanLine="0" meanMarker="1" nonoutliers="0" outliers="1"/>
            <cx:statistics quartileMethod="exclusive"/>
          </cx:layoutPr>
        </cx:series>
        <cx:series layoutId="boxWhisker" uniqueId="{00000001-8D4A-4064-88DE-9319D9833058}">
          <cx:tx>
            <cx:txData>
              <cx:f>_xlchart.v1.20</cx:f>
              <cx:v>Beite</cx:v>
            </cx:txData>
          </cx:tx>
          <cx:dataId val="1"/>
          <cx:layoutPr>
            <cx:visibility meanLine="0" meanMarker="1" nonoutliers="0" outliers="1"/>
            <cx:statistics quartileMethod="exclusive"/>
          </cx:layoutPr>
        </cx:series>
        <cx:series layoutId="boxWhisker" uniqueId="{00000002-8D4A-4064-88DE-9319D9833058}">
          <cx:tx>
            <cx:txData>
              <cx:f>_xlchart.v1.22</cx:f>
              <cx:v>Korn</cx:v>
            </cx:txData>
          </cx:tx>
          <cx:dataId val="2"/>
          <cx:layoutPr>
            <cx:visibility meanLine="0" meanMarker="1" nonoutliers="0" outliers="1"/>
            <cx:statistics quartileMethod="exclusive"/>
          </cx:layoutPr>
        </cx:series>
        <cx:series layoutId="boxWhisker" uniqueId="{00000003-8D4A-4064-88DE-9319D9833058}">
          <cx:tx>
            <cx:txData>
              <cx:f>_xlchart.v1.24</cx:f>
              <cx:v>Grønnsak</cx:v>
            </cx:txData>
          </cx:tx>
          <cx:dataId val="3"/>
          <cx:layoutPr>
            <cx:visibility meanLine="0" meanMarker="1" nonoutliers="0" outliers="1"/>
            <cx:statistics quartileMethod="exclusive"/>
          </cx:layoutPr>
        </cx:series>
        <cx:series layoutId="boxWhisker" uniqueId="{00000004-8D4A-4064-88DE-9319D9833058}">
          <cx:tx>
            <cx:txData>
              <cx:f>_xlchart.v1.26</cx:f>
              <cx:v>Frukt</cx:v>
            </cx:txData>
          </cx:tx>
          <cx:dataId val="4"/>
          <cx:layoutPr>
            <cx:visibility meanLine="0" meanMarker="1" nonoutliers="0" outliers="1"/>
            <cx:statistics quartileMethod="exclusive"/>
          </cx:layoutPr>
        </cx:series>
        <cx:series layoutId="boxWhisker" uniqueId="{00000005-8D4A-4064-88DE-9319D9833058}">
          <cx:tx>
            <cx:txData>
              <cx:f>_xlchart.v1.28</cx:f>
              <cx:v>Annet</cx:v>
            </cx:txData>
          </cx:tx>
          <cx:dataId val="5"/>
          <cx:layoutPr>
            <cx:visibility meanLine="0" meanMarker="1" nonoutliers="0" outliers="1"/>
            <cx:statistics quartileMethod="exclusive"/>
          </cx:layoutPr>
        </cx:series>
      </cx:plotAreaRegion>
      <cx:axis id="0" hidden="1">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MP/5g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MP/5g </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b"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_xlchart.v1.31</cx:f>
      </cx:numDim>
    </cx:data>
    <cx:data id="1">
      <cx:numDim type="val">
        <cx:f>_xlchart.v1.33</cx:f>
      </cx:numDim>
    </cx:data>
    <cx:data id="2">
      <cx:numDim type="val">
        <cx:f>_xlchart.v1.35</cx:f>
      </cx:numDim>
    </cx:data>
    <cx:data id="3">
      <cx:numDim type="val">
        <cx:f>_xlchart.v1.37</cx:f>
      </cx:numDim>
    </cx:data>
    <cx:data id="4">
      <cx:numDim type="val">
        <cx:f>_xlchart.v1.39</cx:f>
      </cx:numDim>
    </cx:data>
    <cx:data id="5">
      <cx:numDim type="val">
        <cx:f>_xlchart.v1.41</cx:f>
      </cx:numDim>
    </cx:data>
  </cx:chartData>
  <cx:chart>
    <cx:title pos="t" align="ctr" overlay="0">
      <cx:tx>
        <cx:rich>
          <a:bodyPr spcFirstLastPara="1" vertOverflow="ellipsis" horzOverflow="overflow" wrap="square" lIns="0" tIns="0" rIns="0" bIns="0" anchor="ctr" anchorCtr="1"/>
          <a:lstStyle/>
          <a:p>
            <a:pPr rtl="0"/>
            <a:r>
              <a:rPr lang="en-GB" sz="1800" b="0" i="0" baseline="0">
                <a:effectLst/>
              </a:rPr>
              <a:t>Målt mikroplast i ulike landbruksarealer</a:t>
            </a:r>
            <a:endParaRPr lang="en-GB" sz="1400">
              <a:effectLst/>
            </a:endParaRPr>
          </a:p>
        </cx:rich>
      </cx:tx>
      <cx:extLst>
        <cx:ext uri="ext:featex">
          <cx:featureExtension feature="mp" drop="onModelChange">
            <cx:offset top="-0.015625547617673874"/>
          </cx:featureExtension>
        </cx:ext>
      </cx:extLst>
    </cx:title>
    <cx:plotArea>
      <cx:plotAreaRegion>
        <cx:series layoutId="boxWhisker" uniqueId="{00000000-EF40-4339-8DB1-2F5C8E840B5B}">
          <cx:tx>
            <cx:txData>
              <cx:f>_xlchart.v1.30</cx:f>
              <cx:v>Gress</cx:v>
            </cx:txData>
          </cx:tx>
          <cx:dataId val="0"/>
          <cx:layoutPr>
            <cx:visibility meanLine="0" meanMarker="1" nonoutliers="0" outliers="1"/>
            <cx:statistics quartileMethod="exclusive"/>
          </cx:layoutPr>
        </cx:series>
        <cx:series layoutId="boxWhisker" uniqueId="{00000001-EF40-4339-8DB1-2F5C8E840B5B}">
          <cx:tx>
            <cx:txData>
              <cx:f>_xlchart.v1.32</cx:f>
              <cx:v>Beite</cx:v>
            </cx:txData>
          </cx:tx>
          <cx:dataId val="1"/>
          <cx:layoutPr>
            <cx:visibility meanLine="0" meanMarker="1" nonoutliers="0" outliers="1"/>
            <cx:statistics quartileMethod="exclusive"/>
          </cx:layoutPr>
        </cx:series>
        <cx:series layoutId="boxWhisker" uniqueId="{00000002-EF40-4339-8DB1-2F5C8E840B5B}">
          <cx:tx>
            <cx:txData>
              <cx:f>_xlchart.v1.34</cx:f>
              <cx:v>Korn</cx:v>
            </cx:txData>
          </cx:tx>
          <cx:dataId val="2"/>
          <cx:layoutPr>
            <cx:visibility meanLine="0" meanMarker="1" nonoutliers="0" outliers="1"/>
            <cx:statistics quartileMethod="exclusive"/>
          </cx:layoutPr>
        </cx:series>
        <cx:series layoutId="boxWhisker" uniqueId="{00000003-EF40-4339-8DB1-2F5C8E840B5B}">
          <cx:tx>
            <cx:txData>
              <cx:f>_xlchart.v1.36</cx:f>
              <cx:v>Grønnsak</cx:v>
            </cx:txData>
          </cx:tx>
          <cx:dataId val="3"/>
          <cx:layoutPr>
            <cx:visibility meanLine="0" meanMarker="1" nonoutliers="0" outliers="1"/>
            <cx:statistics quartileMethod="exclusive"/>
          </cx:layoutPr>
        </cx:series>
        <cx:series layoutId="boxWhisker" uniqueId="{00000004-EF40-4339-8DB1-2F5C8E840B5B}">
          <cx:tx>
            <cx:txData>
              <cx:f>_xlchart.v1.38</cx:f>
              <cx:v>Frukt</cx:v>
            </cx:txData>
          </cx:tx>
          <cx:dataId val="4"/>
          <cx:layoutPr>
            <cx:visibility meanLine="0" meanMarker="1" nonoutliers="0" outliers="1"/>
            <cx:statistics quartileMethod="exclusive"/>
          </cx:layoutPr>
        </cx:series>
        <cx:series layoutId="boxWhisker" uniqueId="{00000005-EF40-4339-8DB1-2F5C8E840B5B}">
          <cx:tx>
            <cx:txData>
              <cx:f>_xlchart.v1.40</cx:f>
              <cx:v>Annet</cx:v>
            </cx:txData>
          </cx:tx>
          <cx:dataId val="5"/>
          <cx:layoutPr>
            <cx:visibility meanLine="0" meanMarker="1" nonoutliers="0" outliers="1"/>
            <cx:statistics quartileMethod="exclusive"/>
          </cx:layoutPr>
        </cx:series>
      </cx:plotAreaRegion>
      <cx:axis id="0" hidden="1">
        <cx:catScaling gapWidth="1"/>
        <cx:tickLabels/>
      </cx:axis>
      <cx:axis id="1">
        <cx:valScaling/>
        <cx:title>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9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MP/5g</a:t>
                </a:r>
                <a:endParaRPr lang="en-GB">
                  <a:effectLst/>
                </a:endParaRPr>
              </a:p>
            </cx:rich>
          </cx:tx>
        </cx:title>
        <cx:majorGridlines/>
        <cx:tickLabels/>
      </cx:axis>
    </cx:plotArea>
    <cx:legend pos="t" align="ctr"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Calibri" panose="020F0502020204030204"/>
          </a:endParaRPr>
        </a:p>
      </cx:txPr>
      <cx:extLst>
        <cx:ext uri="ext:featex">
          <cx:featureExtension feature="mp" drop="onModelChange">
            <cx:offset top="0.020833492279052734" left="0.12500001490116119"/>
          </cx:featureExtension>
        </cx:ext>
      </cx:extLst>
    </cx:legend>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0</xdr:col>
      <xdr:colOff>2381</xdr:colOff>
      <xdr:row>0</xdr:row>
      <xdr:rowOff>0</xdr:rowOff>
    </xdr:from>
    <xdr:to>
      <xdr:col>10</xdr:col>
      <xdr:colOff>123825</xdr:colOff>
      <xdr:row>26</xdr:row>
      <xdr:rowOff>80962</xdr:rowOff>
    </xdr:to>
    <xdr:sp macro="" textlink="">
      <xdr:nvSpPr>
        <xdr:cNvPr id="2" name="TextBox 1">
          <a:extLst>
            <a:ext uri="{FF2B5EF4-FFF2-40B4-BE49-F238E27FC236}">
              <a16:creationId xmlns:a16="http://schemas.microsoft.com/office/drawing/2014/main" id="{F61F48C8-3695-C51F-5B21-3BF951E9BB76}"/>
            </a:ext>
          </a:extLst>
        </xdr:cNvPr>
        <xdr:cNvSpPr txBox="1"/>
      </xdr:nvSpPr>
      <xdr:spPr>
        <a:xfrm>
          <a:off x="2381" y="0"/>
          <a:ext cx="6598444" cy="4786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 dette</a:t>
          </a:r>
          <a:r>
            <a:rPr lang="en-US" sz="1100" baseline="0"/>
            <a:t> exceldokumentet har vi lagret og analysert dataen vi fant. </a:t>
          </a:r>
        </a:p>
        <a:p>
          <a:r>
            <a:rPr lang="en-US" sz="1100" baseline="0"/>
            <a:t>I arket som heter Data har vi lagret all dataen fra prøvene vi tok. Første kolonne er tilknyttet navnet på gårdene, viktig å merke seg at vi ønsker at gårdsnavnene </a:t>
          </a:r>
          <a:r>
            <a:rPr lang="en-US" sz="1100" b="1" baseline="0"/>
            <a:t>ikke</a:t>
          </a:r>
          <a:r>
            <a:rPr lang="en-US" sz="1100" baseline="0"/>
            <a:t> blir offentlig tilgjengeliggjort! </a:t>
          </a:r>
        </a:p>
        <a:p>
          <a:r>
            <a:rPr lang="en-US" sz="1100" baseline="0"/>
            <a:t>I andre kolonne er sample ID. Første tall refererer til hvilken gård prøven ble tatt fra, og det andre tallet refererer til hvilket nummer den prøven på den gården var. Deretter kommer kolonner for dato prøven ble tatt. status, som er i hovedsak et internt verktøy for å holde følge med hvor i prossessen vi er. Derretter kommer infor om hva som produseres, først i paraplytermer, og deretter spesifikt. Etter det kommer prøve spesifik data, først om hvor mange gram av prøven som ble overført til saltløsning, og deretter hvor mye plast biter vi fant. Vi tok to bilder av noen prøver og kjørte begge gjennom programmet. Dette er oppført i kolonnen data program counted som x og y, der x og y står for hvor mange mikroplastbiter vi fant. Vi telte alle prøvene manuelt og valgte å oppføre største mengde mikroplast per prøve for de som var dobble. Så kommer data om hvordan været var da prøven ble tatt og om lokasjonen. Deretter kommer notater for hvordan området rundt prøvestedet så ut. </a:t>
          </a:r>
        </a:p>
        <a:p>
          <a:endParaRPr lang="en-US" sz="1100" baseline="0"/>
        </a:p>
        <a:p>
          <a:r>
            <a:rPr lang="en-US" sz="1100" baseline="0"/>
            <a:t>Arket som heter status er også i hovedsak et internt verktøy for å se hvor langt vi har kommet. </a:t>
          </a:r>
        </a:p>
        <a:p>
          <a:endParaRPr lang="en-US" sz="1100" baseline="0"/>
        </a:p>
        <a:p>
          <a:r>
            <a:rPr lang="en-US" sz="1100" baseline="0"/>
            <a:t>Arket som heters lists er brukt for data validation i excel for å forsikre oss om at alle skriver med samme format, arket brukes til å lage drop down menyer. </a:t>
          </a:r>
        </a:p>
        <a:p>
          <a:endParaRPr lang="en-US" sz="1100" baseline="0"/>
        </a:p>
        <a:p>
          <a:r>
            <a:rPr lang="en-US" sz="1100" baseline="0"/>
            <a:t>I arkene med analyse ... har vi hentet data fra Data arket og analysert det. Dette er gjort vi excel sine kommandoer for å forsikre oss om at all data er oppdatert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307181</xdr:colOff>
      <xdr:row>0</xdr:row>
      <xdr:rowOff>147638</xdr:rowOff>
    </xdr:from>
    <xdr:to>
      <xdr:col>28</xdr:col>
      <xdr:colOff>511968</xdr:colOff>
      <xdr:row>15</xdr:row>
      <xdr:rowOff>176213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6680508-75ED-FC85-291F-2A359DBE84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509081" y="147638"/>
              <a:ext cx="11495087" cy="29368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166480</xdr:colOff>
      <xdr:row>1</xdr:row>
      <xdr:rowOff>7040</xdr:rowOff>
    </xdr:from>
    <xdr:to>
      <xdr:col>16</xdr:col>
      <xdr:colOff>290305</xdr:colOff>
      <xdr:row>15</xdr:row>
      <xdr:rowOff>160682</xdr:rowOff>
    </xdr:to>
    <mc:AlternateContent xmlns:mc="http://schemas.openxmlformats.org/markup-compatibility/2006">
      <mc:Choice xmlns:cx1="http://schemas.microsoft.com/office/drawing/2015/9/8/chartex" Requires="cx1">
        <xdr:graphicFrame macro="">
          <xdr:nvGraphicFramePr>
            <xdr:cNvPr id="140" name="Chart 1">
              <a:extLst>
                <a:ext uri="{FF2B5EF4-FFF2-40B4-BE49-F238E27FC236}">
                  <a16:creationId xmlns:a16="http://schemas.microsoft.com/office/drawing/2014/main" id="{AB6A1D34-540D-62D3-DB85-08A9872E4E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49680" y="197540"/>
              <a:ext cx="6067425" cy="28206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319088</xdr:colOff>
      <xdr:row>1</xdr:row>
      <xdr:rowOff>42863</xdr:rowOff>
    </xdr:from>
    <xdr:to>
      <xdr:col>18</xdr:col>
      <xdr:colOff>614362</xdr:colOff>
      <xdr:row>21</xdr:row>
      <xdr:rowOff>38100</xdr:rowOff>
    </xdr:to>
    <mc:AlternateContent xmlns:mc="http://schemas.openxmlformats.org/markup-compatibility/2006">
      <mc:Choice xmlns:cx1="http://schemas.microsoft.com/office/drawing/2015/9/8/chartex" Requires="cx1">
        <xdr:graphicFrame macro="">
          <xdr:nvGraphicFramePr>
            <xdr:cNvPr id="7" name="Chart 1">
              <a:extLst>
                <a:ext uri="{FF2B5EF4-FFF2-40B4-BE49-F238E27FC236}">
                  <a16:creationId xmlns:a16="http://schemas.microsoft.com/office/drawing/2014/main" id="{27BCD0B0-258B-58AB-A62E-FB2782D425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41888" y="233363"/>
              <a:ext cx="7559674" cy="38052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B5AA-C31A-42FC-881E-D49653900C5C}">
  <dimension ref="A1"/>
  <sheetViews>
    <sheetView workbookViewId="0">
      <selection activeCell="L10" sqref="L10"/>
    </sheetView>
  </sheetViews>
  <sheetFormatPr baseColWidth="10" defaultColWidth="8.66406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130FD-2174-45E9-A0D8-242738BA5019}">
  <dimension ref="A1:Z154"/>
  <sheetViews>
    <sheetView tabSelected="1" zoomScale="56" workbookViewId="0">
      <pane ySplit="2" topLeftCell="A3" activePane="bottomLeft" state="frozen"/>
      <selection pane="bottomLeft" activeCell="A38" sqref="A38"/>
    </sheetView>
  </sheetViews>
  <sheetFormatPr baseColWidth="10" defaultColWidth="8.6640625" defaultRowHeight="15" customHeight="1" x14ac:dyDescent="0.2"/>
  <cols>
    <col min="1" max="1" width="32.33203125" bestFit="1" customWidth="1"/>
    <col min="2" max="2" width="13.6640625" customWidth="1"/>
    <col min="3" max="3" width="23.33203125" bestFit="1" customWidth="1"/>
    <col min="4" max="5" width="15.6640625" customWidth="1"/>
    <col min="6" max="6" width="13.33203125" customWidth="1"/>
    <col min="7" max="7" width="25.6640625" customWidth="1"/>
    <col min="8" max="8" width="20.6640625" customWidth="1"/>
    <col min="9" max="9" width="28.33203125" bestFit="1" customWidth="1"/>
    <col min="10" max="10" width="34.1640625" bestFit="1" customWidth="1"/>
    <col min="11" max="11" width="8.6640625" customWidth="1"/>
    <col min="12" max="12" width="16.6640625" customWidth="1"/>
    <col min="13" max="13" width="11.6640625" style="14" customWidth="1"/>
    <col min="14" max="14" width="13" style="13" customWidth="1"/>
    <col min="15" max="15" width="13" customWidth="1"/>
    <col min="16" max="16" width="13.33203125" customWidth="1"/>
    <col min="17" max="17" width="14.33203125" style="14" customWidth="1"/>
    <col min="18" max="18" width="64.83203125" bestFit="1" customWidth="1"/>
    <col min="20" max="20" width="33.6640625" customWidth="1"/>
  </cols>
  <sheetData>
    <row r="1" spans="1:26" s="1" customFormat="1" ht="23.25" customHeight="1" x14ac:dyDescent="0.25">
      <c r="A1" s="59" t="s">
        <v>0</v>
      </c>
      <c r="B1" s="59" t="s">
        <v>1</v>
      </c>
      <c r="C1" s="59" t="s">
        <v>2</v>
      </c>
      <c r="D1" s="59" t="s">
        <v>3</v>
      </c>
      <c r="E1" s="59" t="s">
        <v>4</v>
      </c>
      <c r="F1" s="59" t="s">
        <v>5</v>
      </c>
      <c r="G1" s="59" t="s">
        <v>6</v>
      </c>
      <c r="H1" s="57" t="s">
        <v>7</v>
      </c>
      <c r="I1" s="58" t="s">
        <v>8</v>
      </c>
      <c r="J1" s="58"/>
      <c r="K1" s="60" t="s">
        <v>9</v>
      </c>
      <c r="L1" s="60"/>
      <c r="M1" s="60"/>
      <c r="N1" s="60" t="s">
        <v>10</v>
      </c>
      <c r="O1" s="60"/>
      <c r="P1" s="60"/>
      <c r="Q1" s="60"/>
      <c r="R1" s="57" t="s">
        <v>11</v>
      </c>
    </row>
    <row r="2" spans="1:26" s="1" customFormat="1" ht="33.5" customHeight="1" x14ac:dyDescent="0.2">
      <c r="A2" s="59"/>
      <c r="B2" s="59"/>
      <c r="C2" s="59"/>
      <c r="D2" s="59"/>
      <c r="E2" s="59"/>
      <c r="F2" s="59"/>
      <c r="G2" s="59"/>
      <c r="H2" s="57"/>
      <c r="I2" s="17" t="s">
        <v>12</v>
      </c>
      <c r="J2" s="17" t="s">
        <v>13</v>
      </c>
      <c r="K2" s="17" t="s">
        <v>9</v>
      </c>
      <c r="L2" s="19" t="s">
        <v>14</v>
      </c>
      <c r="M2" s="20" t="s">
        <v>15</v>
      </c>
      <c r="N2" s="6" t="s">
        <v>16</v>
      </c>
      <c r="O2" s="6" t="s">
        <v>17</v>
      </c>
      <c r="P2" s="17" t="s">
        <v>18</v>
      </c>
      <c r="Q2" s="18" t="s">
        <v>19</v>
      </c>
      <c r="R2" s="57"/>
    </row>
    <row r="3" spans="1:26" x14ac:dyDescent="0.2">
      <c r="A3" s="5" t="s">
        <v>20</v>
      </c>
      <c r="B3" s="5">
        <v>1.1000000000000001</v>
      </c>
      <c r="C3" s="8" t="s">
        <v>21</v>
      </c>
      <c r="D3" s="4" t="s">
        <v>22</v>
      </c>
      <c r="E3" s="4" t="s">
        <v>23</v>
      </c>
      <c r="F3" s="5" t="s">
        <v>24</v>
      </c>
      <c r="G3" s="5" t="s">
        <v>24</v>
      </c>
      <c r="H3" s="5">
        <v>5.01</v>
      </c>
      <c r="I3" s="5">
        <v>1</v>
      </c>
      <c r="J3" s="5">
        <v>3</v>
      </c>
      <c r="K3" s="5" t="s">
        <v>25</v>
      </c>
      <c r="L3" s="5">
        <v>4.5</v>
      </c>
      <c r="M3" s="12">
        <v>12.3</v>
      </c>
      <c r="N3" s="11" t="s">
        <v>26</v>
      </c>
      <c r="O3" s="5" t="s">
        <v>26</v>
      </c>
      <c r="P3" s="5"/>
      <c r="Q3" s="12"/>
      <c r="R3" s="5" t="s">
        <v>27</v>
      </c>
    </row>
    <row r="4" spans="1:26" x14ac:dyDescent="0.2">
      <c r="A4" s="5" t="s">
        <v>20</v>
      </c>
      <c r="B4" s="5">
        <v>1.2</v>
      </c>
      <c r="C4" s="8" t="s">
        <v>28</v>
      </c>
      <c r="D4" s="4" t="s">
        <v>22</v>
      </c>
      <c r="E4" s="4" t="s">
        <v>23</v>
      </c>
      <c r="F4" s="5" t="s">
        <v>29</v>
      </c>
      <c r="G4" s="5" t="s">
        <v>30</v>
      </c>
      <c r="H4" s="5">
        <v>5.0199999999999996</v>
      </c>
      <c r="I4" s="5">
        <v>1</v>
      </c>
      <c r="J4" s="5">
        <v>1</v>
      </c>
      <c r="K4" s="5" t="s">
        <v>25</v>
      </c>
      <c r="L4" s="5">
        <v>4.5</v>
      </c>
      <c r="M4" s="12">
        <v>12.3</v>
      </c>
      <c r="N4" s="11" t="s">
        <v>26</v>
      </c>
      <c r="O4" s="5" t="s">
        <v>26</v>
      </c>
      <c r="P4" s="5"/>
      <c r="Q4" s="12"/>
      <c r="R4" s="5" t="s">
        <v>27</v>
      </c>
      <c r="U4" s="11"/>
      <c r="V4" s="5"/>
      <c r="W4" s="5"/>
      <c r="X4" s="11"/>
      <c r="Y4" s="5"/>
      <c r="Z4" s="5"/>
    </row>
    <row r="5" spans="1:26" x14ac:dyDescent="0.2">
      <c r="A5" s="5" t="s">
        <v>31</v>
      </c>
      <c r="B5" s="5">
        <v>2.1</v>
      </c>
      <c r="C5" s="5" t="s">
        <v>32</v>
      </c>
      <c r="D5" s="4" t="s">
        <v>22</v>
      </c>
      <c r="E5" s="4" t="s">
        <v>23</v>
      </c>
      <c r="F5" s="5" t="s">
        <v>24</v>
      </c>
      <c r="G5" s="5" t="s">
        <v>24</v>
      </c>
      <c r="H5" s="5">
        <v>5.0999999999999996</v>
      </c>
      <c r="I5" s="5">
        <v>3</v>
      </c>
      <c r="J5" s="5">
        <v>3</v>
      </c>
      <c r="K5" s="5" t="s">
        <v>33</v>
      </c>
      <c r="L5" s="5">
        <v>0</v>
      </c>
      <c r="M5" s="12">
        <v>14.6</v>
      </c>
      <c r="N5" s="11" t="s">
        <v>34</v>
      </c>
      <c r="O5" s="5" t="s">
        <v>26</v>
      </c>
      <c r="P5" s="5">
        <v>10.182359999999999</v>
      </c>
      <c r="Q5" s="12">
        <v>63.428359999999998</v>
      </c>
      <c r="R5" s="5" t="s">
        <v>35</v>
      </c>
      <c r="U5" s="15"/>
      <c r="V5" s="16"/>
      <c r="W5" s="5"/>
      <c r="X5" s="15"/>
      <c r="Y5" s="16"/>
      <c r="Z5" s="5"/>
    </row>
    <row r="6" spans="1:26" x14ac:dyDescent="0.2">
      <c r="A6" s="5" t="s">
        <v>31</v>
      </c>
      <c r="B6" s="5">
        <v>2.2000000000000002</v>
      </c>
      <c r="C6" s="5" t="s">
        <v>36</v>
      </c>
      <c r="D6" s="4" t="s">
        <v>22</v>
      </c>
      <c r="E6" s="4" t="s">
        <v>23</v>
      </c>
      <c r="F6" s="5" t="s">
        <v>29</v>
      </c>
      <c r="G6" s="5" t="s">
        <v>37</v>
      </c>
      <c r="H6" s="5">
        <v>5.08</v>
      </c>
      <c r="I6" s="5">
        <v>3</v>
      </c>
      <c r="J6" s="5">
        <v>96</v>
      </c>
      <c r="K6" s="5" t="s">
        <v>33</v>
      </c>
      <c r="L6" s="5">
        <v>0</v>
      </c>
      <c r="M6" s="12">
        <v>14.6</v>
      </c>
      <c r="N6" s="11" t="s">
        <v>34</v>
      </c>
      <c r="O6" s="5" t="s">
        <v>26</v>
      </c>
      <c r="P6" s="5">
        <v>10.182359999999999</v>
      </c>
      <c r="Q6" s="12">
        <v>63.428359999999998</v>
      </c>
      <c r="R6" s="5" t="s">
        <v>35</v>
      </c>
    </row>
    <row r="7" spans="1:26" x14ac:dyDescent="0.2">
      <c r="A7" s="5" t="s">
        <v>31</v>
      </c>
      <c r="B7" s="5">
        <v>2.2999999999999998</v>
      </c>
      <c r="C7" s="5" t="s">
        <v>38</v>
      </c>
      <c r="D7" s="4" t="s">
        <v>22</v>
      </c>
      <c r="E7" s="4" t="s">
        <v>23</v>
      </c>
      <c r="F7" s="5" t="s">
        <v>39</v>
      </c>
      <c r="G7" s="5" t="s">
        <v>40</v>
      </c>
      <c r="H7" s="5">
        <v>5.01</v>
      </c>
      <c r="I7" s="5">
        <v>5</v>
      </c>
      <c r="J7" s="5">
        <v>6</v>
      </c>
      <c r="K7" s="5" t="s">
        <v>33</v>
      </c>
      <c r="L7" s="5">
        <v>0</v>
      </c>
      <c r="M7" s="12">
        <v>14.6</v>
      </c>
      <c r="N7" s="11" t="s">
        <v>34</v>
      </c>
      <c r="O7" s="5" t="s">
        <v>26</v>
      </c>
      <c r="P7" s="5">
        <v>10.182359999999999</v>
      </c>
      <c r="Q7" s="12">
        <v>63.428359999999998</v>
      </c>
      <c r="R7" s="5" t="s">
        <v>35</v>
      </c>
    </row>
    <row r="8" spans="1:26" x14ac:dyDescent="0.2">
      <c r="A8" s="5" t="s">
        <v>31</v>
      </c>
      <c r="B8" s="5">
        <v>2.4</v>
      </c>
      <c r="C8" s="5" t="s">
        <v>41</v>
      </c>
      <c r="D8" s="4" t="s">
        <v>22</v>
      </c>
      <c r="E8" s="4" t="s">
        <v>23</v>
      </c>
      <c r="F8" s="5" t="s">
        <v>24</v>
      </c>
      <c r="G8" s="5" t="s">
        <v>24</v>
      </c>
      <c r="H8" s="5">
        <v>5.01</v>
      </c>
      <c r="I8" s="5">
        <v>2</v>
      </c>
      <c r="J8" s="5">
        <v>2</v>
      </c>
      <c r="K8" s="5" t="s">
        <v>33</v>
      </c>
      <c r="L8" s="5">
        <v>0</v>
      </c>
      <c r="M8" s="12">
        <v>14.6</v>
      </c>
      <c r="N8" s="11" t="s">
        <v>34</v>
      </c>
      <c r="O8" s="5" t="s">
        <v>26</v>
      </c>
      <c r="P8" s="5">
        <v>10.182359999999999</v>
      </c>
      <c r="Q8" s="12">
        <v>63.428359999999998</v>
      </c>
      <c r="R8" s="5" t="s">
        <v>35</v>
      </c>
    </row>
    <row r="9" spans="1:26" x14ac:dyDescent="0.2">
      <c r="A9" s="5" t="s">
        <v>42</v>
      </c>
      <c r="B9" s="5">
        <v>3.1</v>
      </c>
      <c r="C9" s="5" t="s">
        <v>43</v>
      </c>
      <c r="D9" s="4" t="s">
        <v>22</v>
      </c>
      <c r="E9" s="4" t="s">
        <v>23</v>
      </c>
      <c r="F9" s="5" t="s">
        <v>24</v>
      </c>
      <c r="G9" s="5" t="s">
        <v>24</v>
      </c>
      <c r="H9" s="5">
        <v>4.99</v>
      </c>
      <c r="I9" s="5">
        <v>0</v>
      </c>
      <c r="J9" s="5">
        <v>0</v>
      </c>
      <c r="K9" s="5" t="s">
        <v>33</v>
      </c>
      <c r="L9" s="5">
        <v>0</v>
      </c>
      <c r="M9" s="12">
        <v>14.6</v>
      </c>
      <c r="N9" s="11" t="s">
        <v>34</v>
      </c>
      <c r="O9" s="5" t="s">
        <v>26</v>
      </c>
      <c r="P9" s="5">
        <v>10.107379999999999</v>
      </c>
      <c r="Q9" s="12">
        <v>63.420740000000002</v>
      </c>
      <c r="R9" s="5" t="s">
        <v>44</v>
      </c>
    </row>
    <row r="10" spans="1:26" x14ac:dyDescent="0.2">
      <c r="A10" s="5" t="s">
        <v>42</v>
      </c>
      <c r="B10" s="5">
        <v>3.2</v>
      </c>
      <c r="C10" s="5" t="s">
        <v>45</v>
      </c>
      <c r="D10" s="4" t="s">
        <v>22</v>
      </c>
      <c r="E10" s="4" t="s">
        <v>23</v>
      </c>
      <c r="F10" s="5" t="s">
        <v>24</v>
      </c>
      <c r="G10" s="5" t="s">
        <v>24</v>
      </c>
      <c r="H10" s="5">
        <v>5</v>
      </c>
      <c r="I10" s="5">
        <v>2</v>
      </c>
      <c r="J10" s="5">
        <v>2</v>
      </c>
      <c r="K10" s="5" t="s">
        <v>33</v>
      </c>
      <c r="L10" s="5">
        <v>0</v>
      </c>
      <c r="M10" s="12">
        <v>14.6</v>
      </c>
      <c r="N10" s="11" t="s">
        <v>34</v>
      </c>
      <c r="O10" s="5" t="s">
        <v>26</v>
      </c>
      <c r="P10" s="5">
        <v>10.107379999999999</v>
      </c>
      <c r="Q10" s="12">
        <v>63.420740000000002</v>
      </c>
      <c r="R10" s="5" t="s">
        <v>44</v>
      </c>
    </row>
    <row r="11" spans="1:26" x14ac:dyDescent="0.2">
      <c r="A11" s="5" t="s">
        <v>46</v>
      </c>
      <c r="B11" s="5">
        <v>4.0999999999999996</v>
      </c>
      <c r="C11" s="5" t="s">
        <v>47</v>
      </c>
      <c r="D11" s="4" t="s">
        <v>22</v>
      </c>
      <c r="E11" s="4" t="s">
        <v>23</v>
      </c>
      <c r="F11" s="5" t="s">
        <v>24</v>
      </c>
      <c r="G11" s="5" t="s">
        <v>24</v>
      </c>
      <c r="H11" s="5">
        <v>5</v>
      </c>
      <c r="I11" s="5">
        <v>0</v>
      </c>
      <c r="J11" s="5">
        <v>0</v>
      </c>
      <c r="K11" s="5" t="s">
        <v>33</v>
      </c>
      <c r="L11" s="5">
        <v>0</v>
      </c>
      <c r="M11" s="12">
        <v>14.6</v>
      </c>
      <c r="N11" s="11" t="s">
        <v>34</v>
      </c>
      <c r="O11" s="5" t="s">
        <v>26</v>
      </c>
      <c r="P11" s="5">
        <v>10.067959999999999</v>
      </c>
      <c r="Q11" s="12">
        <v>63.394829999999999</v>
      </c>
      <c r="R11" s="5" t="s">
        <v>48</v>
      </c>
    </row>
    <row r="12" spans="1:26" x14ac:dyDescent="0.2">
      <c r="A12" s="5" t="s">
        <v>46</v>
      </c>
      <c r="B12" s="5">
        <v>4.2</v>
      </c>
      <c r="C12" s="5" t="s">
        <v>49</v>
      </c>
      <c r="D12" s="4" t="s">
        <v>22</v>
      </c>
      <c r="E12" s="4" t="s">
        <v>23</v>
      </c>
      <c r="F12" s="5" t="s">
        <v>24</v>
      </c>
      <c r="G12" s="5" t="s">
        <v>24</v>
      </c>
      <c r="H12" s="5">
        <v>5.0199999999999996</v>
      </c>
      <c r="I12" s="5">
        <v>1</v>
      </c>
      <c r="J12" s="5">
        <v>1</v>
      </c>
      <c r="K12" s="5" t="s">
        <v>33</v>
      </c>
      <c r="L12" s="5">
        <v>0</v>
      </c>
      <c r="M12" s="12">
        <v>14.6</v>
      </c>
      <c r="N12" s="11" t="s">
        <v>34</v>
      </c>
      <c r="O12" s="5" t="s">
        <v>26</v>
      </c>
      <c r="P12" s="5">
        <v>10.067959999999999</v>
      </c>
      <c r="Q12" s="12">
        <v>63.394829999999999</v>
      </c>
      <c r="R12" s="5" t="s">
        <v>48</v>
      </c>
    </row>
    <row r="13" spans="1:26" x14ac:dyDescent="0.2">
      <c r="A13" s="5" t="s">
        <v>50</v>
      </c>
      <c r="B13" s="5">
        <v>5.0999999999999996</v>
      </c>
      <c r="C13" s="5" t="s">
        <v>51</v>
      </c>
      <c r="D13" s="4" t="s">
        <v>22</v>
      </c>
      <c r="E13" s="4" t="s">
        <v>23</v>
      </c>
      <c r="F13" s="5" t="s">
        <v>39</v>
      </c>
      <c r="G13" s="5" t="s">
        <v>40</v>
      </c>
      <c r="H13" s="5">
        <v>5.0199999999999996</v>
      </c>
      <c r="I13" s="5">
        <v>3</v>
      </c>
      <c r="J13" s="5">
        <v>3</v>
      </c>
      <c r="K13" s="5" t="s">
        <v>33</v>
      </c>
      <c r="L13" s="5">
        <v>0</v>
      </c>
      <c r="M13" s="12">
        <v>14.6</v>
      </c>
      <c r="N13" s="11" t="s">
        <v>34</v>
      </c>
      <c r="O13" s="5" t="s">
        <v>26</v>
      </c>
      <c r="P13" s="5">
        <v>10.12815</v>
      </c>
      <c r="Q13" s="12">
        <v>63.365540000000003</v>
      </c>
      <c r="R13" s="5" t="s">
        <v>52</v>
      </c>
    </row>
    <row r="14" spans="1:26" x14ac:dyDescent="0.2">
      <c r="A14" s="5" t="s">
        <v>50</v>
      </c>
      <c r="B14" s="5">
        <v>5.2</v>
      </c>
      <c r="C14" s="5" t="s">
        <v>53</v>
      </c>
      <c r="D14" s="4" t="s">
        <v>22</v>
      </c>
      <c r="E14" s="4" t="s">
        <v>23</v>
      </c>
      <c r="F14" s="5" t="s">
        <v>39</v>
      </c>
      <c r="G14" s="5" t="s">
        <v>40</v>
      </c>
      <c r="H14" s="5">
        <v>5</v>
      </c>
      <c r="I14" s="5">
        <v>2</v>
      </c>
      <c r="J14" s="5">
        <v>2</v>
      </c>
      <c r="K14" s="5" t="s">
        <v>33</v>
      </c>
      <c r="L14" s="5">
        <v>0</v>
      </c>
      <c r="M14" s="12">
        <v>14.6</v>
      </c>
      <c r="N14" s="11" t="s">
        <v>34</v>
      </c>
      <c r="O14" s="5" t="s">
        <v>26</v>
      </c>
      <c r="P14" s="5">
        <v>10.12815</v>
      </c>
      <c r="Q14" s="12">
        <v>63.365540000000003</v>
      </c>
      <c r="R14" s="5" t="s">
        <v>52</v>
      </c>
    </row>
    <row r="15" spans="1:26" x14ac:dyDescent="0.2">
      <c r="A15" s="5" t="s">
        <v>54</v>
      </c>
      <c r="B15" s="5">
        <v>6.1</v>
      </c>
      <c r="C15" s="5" t="s">
        <v>55</v>
      </c>
      <c r="D15" s="4" t="s">
        <v>22</v>
      </c>
      <c r="E15" s="4" t="s">
        <v>23</v>
      </c>
      <c r="F15" s="5" t="s">
        <v>39</v>
      </c>
      <c r="G15" s="5" t="s">
        <v>39</v>
      </c>
      <c r="H15" s="5">
        <v>5.05</v>
      </c>
      <c r="I15" s="5">
        <v>2</v>
      </c>
      <c r="J15" s="5">
        <v>2</v>
      </c>
      <c r="K15" s="5" t="s">
        <v>33</v>
      </c>
      <c r="L15" s="5">
        <v>0</v>
      </c>
      <c r="M15" s="12">
        <v>14.6</v>
      </c>
      <c r="N15" s="11" t="s">
        <v>34</v>
      </c>
      <c r="O15" s="5" t="s">
        <v>26</v>
      </c>
      <c r="P15" s="5">
        <v>10.14913</v>
      </c>
      <c r="Q15" s="12">
        <v>63.409050000000001</v>
      </c>
      <c r="R15" s="5" t="s">
        <v>56</v>
      </c>
    </row>
    <row r="16" spans="1:26" x14ac:dyDescent="0.2">
      <c r="A16" s="5" t="s">
        <v>54</v>
      </c>
      <c r="B16" s="5">
        <v>6.2</v>
      </c>
      <c r="C16" s="5" t="s">
        <v>57</v>
      </c>
      <c r="D16" s="4" t="s">
        <v>22</v>
      </c>
      <c r="E16" s="4" t="s">
        <v>23</v>
      </c>
      <c r="F16" s="5" t="s">
        <v>58</v>
      </c>
      <c r="G16" s="5" t="s">
        <v>59</v>
      </c>
      <c r="H16" s="5">
        <v>4.99</v>
      </c>
      <c r="I16" s="5">
        <v>3</v>
      </c>
      <c r="J16" s="5">
        <v>3</v>
      </c>
      <c r="K16" s="5" t="s">
        <v>33</v>
      </c>
      <c r="L16" s="5">
        <v>0</v>
      </c>
      <c r="M16" s="12">
        <v>14.6</v>
      </c>
      <c r="N16" s="11" t="s">
        <v>34</v>
      </c>
      <c r="O16" s="5" t="s">
        <v>26</v>
      </c>
      <c r="P16" s="5">
        <v>10.14913</v>
      </c>
      <c r="Q16" s="12">
        <v>63.409050000000001</v>
      </c>
      <c r="R16" s="5" t="s">
        <v>56</v>
      </c>
    </row>
    <row r="17" spans="1:18" x14ac:dyDescent="0.2">
      <c r="A17" s="5" t="s">
        <v>54</v>
      </c>
      <c r="B17" s="5">
        <v>6.3</v>
      </c>
      <c r="C17" s="5" t="s">
        <v>60</v>
      </c>
      <c r="D17" s="4" t="s">
        <v>22</v>
      </c>
      <c r="E17" s="4" t="s">
        <v>23</v>
      </c>
      <c r="F17" s="5" t="s">
        <v>39</v>
      </c>
      <c r="G17" s="5" t="s">
        <v>39</v>
      </c>
      <c r="H17" s="5">
        <v>5.01</v>
      </c>
      <c r="I17" s="5">
        <v>0</v>
      </c>
      <c r="J17" s="5">
        <v>0</v>
      </c>
      <c r="K17" s="5" t="s">
        <v>33</v>
      </c>
      <c r="L17" s="5">
        <v>0</v>
      </c>
      <c r="M17" s="12">
        <v>14.6</v>
      </c>
      <c r="N17" s="11" t="s">
        <v>34</v>
      </c>
      <c r="O17" s="5" t="s">
        <v>26</v>
      </c>
      <c r="P17" s="5">
        <v>10.14913</v>
      </c>
      <c r="Q17" s="12">
        <v>63.409050000000001</v>
      </c>
      <c r="R17" s="5" t="s">
        <v>56</v>
      </c>
    </row>
    <row r="18" spans="1:18" x14ac:dyDescent="0.2">
      <c r="A18" s="5" t="s">
        <v>61</v>
      </c>
      <c r="B18" s="5">
        <v>7.1</v>
      </c>
      <c r="C18" s="5" t="s">
        <v>62</v>
      </c>
      <c r="D18" s="4" t="s">
        <v>22</v>
      </c>
      <c r="E18" s="4" t="s">
        <v>23</v>
      </c>
      <c r="F18" s="5" t="s">
        <v>39</v>
      </c>
      <c r="G18" s="5" t="s">
        <v>40</v>
      </c>
      <c r="H18" s="5">
        <v>5</v>
      </c>
      <c r="I18" s="5">
        <v>0</v>
      </c>
      <c r="J18" s="5">
        <v>0</v>
      </c>
      <c r="K18" s="5" t="s">
        <v>33</v>
      </c>
      <c r="L18" s="5">
        <v>0</v>
      </c>
      <c r="M18" s="12">
        <v>14.6</v>
      </c>
      <c r="N18" s="11" t="s">
        <v>34</v>
      </c>
      <c r="O18" s="5" t="s">
        <v>26</v>
      </c>
      <c r="P18" s="5">
        <v>10.16389</v>
      </c>
      <c r="Q18" s="12">
        <v>63.395980000000002</v>
      </c>
      <c r="R18" s="5" t="s">
        <v>63</v>
      </c>
    </row>
    <row r="19" spans="1:18" x14ac:dyDescent="0.2">
      <c r="A19" s="5" t="s">
        <v>61</v>
      </c>
      <c r="B19" s="5">
        <v>7.2</v>
      </c>
      <c r="C19" s="5" t="s">
        <v>64</v>
      </c>
      <c r="D19" s="4" t="s">
        <v>22</v>
      </c>
      <c r="E19" s="4" t="s">
        <v>23</v>
      </c>
      <c r="F19" s="5" t="s">
        <v>58</v>
      </c>
      <c r="G19" s="5" t="s">
        <v>65</v>
      </c>
      <c r="H19" s="5">
        <v>5.03</v>
      </c>
      <c r="I19" s="5">
        <v>0</v>
      </c>
      <c r="J19" s="5">
        <v>0</v>
      </c>
      <c r="K19" s="5" t="s">
        <v>33</v>
      </c>
      <c r="L19" s="5">
        <v>0</v>
      </c>
      <c r="M19" s="12">
        <v>14.6</v>
      </c>
      <c r="N19" s="11" t="s">
        <v>34</v>
      </c>
      <c r="O19" s="5" t="s">
        <v>26</v>
      </c>
      <c r="P19" s="5">
        <v>10.16389</v>
      </c>
      <c r="Q19" s="12">
        <v>63.395980000000002</v>
      </c>
      <c r="R19" s="5" t="s">
        <v>63</v>
      </c>
    </row>
    <row r="20" spans="1:18" x14ac:dyDescent="0.2">
      <c r="A20" s="5" t="s">
        <v>61</v>
      </c>
      <c r="B20" s="5">
        <v>7.3</v>
      </c>
      <c r="C20" s="5" t="s">
        <v>66</v>
      </c>
      <c r="D20" s="4" t="s">
        <v>22</v>
      </c>
      <c r="E20" s="4" t="s">
        <v>23</v>
      </c>
      <c r="F20" s="5" t="s">
        <v>39</v>
      </c>
      <c r="G20" s="5" t="s">
        <v>40</v>
      </c>
      <c r="H20" s="5">
        <v>5</v>
      </c>
      <c r="I20" s="5">
        <v>0</v>
      </c>
      <c r="J20" s="5">
        <v>0</v>
      </c>
      <c r="K20" s="5" t="s">
        <v>33</v>
      </c>
      <c r="L20" s="5">
        <v>0</v>
      </c>
      <c r="M20" s="12">
        <v>14.6</v>
      </c>
      <c r="N20" s="11" t="s">
        <v>34</v>
      </c>
      <c r="O20" s="5" t="s">
        <v>26</v>
      </c>
      <c r="P20" s="5">
        <v>10.16389</v>
      </c>
      <c r="Q20" s="12">
        <v>63.395980000000002</v>
      </c>
      <c r="R20" s="5" t="s">
        <v>63</v>
      </c>
    </row>
    <row r="21" spans="1:18" x14ac:dyDescent="0.2">
      <c r="A21" s="5" t="s">
        <v>67</v>
      </c>
      <c r="B21" s="5">
        <v>8.1</v>
      </c>
      <c r="C21" s="5" t="s">
        <v>68</v>
      </c>
      <c r="D21" s="4" t="s">
        <v>22</v>
      </c>
      <c r="E21" s="4" t="s">
        <v>23</v>
      </c>
      <c r="F21" s="5" t="s">
        <v>29</v>
      </c>
      <c r="G21" s="5" t="s">
        <v>69</v>
      </c>
      <c r="H21" s="5">
        <v>5.01</v>
      </c>
      <c r="I21" s="5">
        <v>1</v>
      </c>
      <c r="J21" s="5">
        <v>1</v>
      </c>
      <c r="K21" s="5" t="s">
        <v>33</v>
      </c>
      <c r="L21" s="5">
        <v>0</v>
      </c>
      <c r="M21" s="12">
        <v>14.6</v>
      </c>
      <c r="N21" s="11" t="s">
        <v>34</v>
      </c>
      <c r="O21" s="5" t="s">
        <v>26</v>
      </c>
      <c r="P21" s="5">
        <v>10.16469</v>
      </c>
      <c r="Q21" s="12">
        <v>63.393410000000003</v>
      </c>
      <c r="R21" s="5" t="s">
        <v>70</v>
      </c>
    </row>
    <row r="22" spans="1:18" x14ac:dyDescent="0.2">
      <c r="A22" s="5" t="s">
        <v>67</v>
      </c>
      <c r="B22" s="5">
        <v>8.1999999999999993</v>
      </c>
      <c r="C22" s="5" t="s">
        <v>71</v>
      </c>
      <c r="D22" s="4" t="s">
        <v>22</v>
      </c>
      <c r="E22" s="4" t="s">
        <v>23</v>
      </c>
      <c r="F22" s="5" t="s">
        <v>72</v>
      </c>
      <c r="G22" s="5" t="s">
        <v>73</v>
      </c>
      <c r="H22" s="5">
        <v>4.99</v>
      </c>
      <c r="I22" s="5">
        <v>0</v>
      </c>
      <c r="J22" s="5">
        <v>0</v>
      </c>
      <c r="K22" s="5" t="s">
        <v>33</v>
      </c>
      <c r="L22" s="5">
        <v>0</v>
      </c>
      <c r="M22" s="12">
        <v>14.6</v>
      </c>
      <c r="N22" s="11" t="s">
        <v>34</v>
      </c>
      <c r="O22" s="5" t="s">
        <v>26</v>
      </c>
      <c r="P22" s="5">
        <v>10.16469</v>
      </c>
      <c r="Q22" s="12">
        <v>63.393410000000003</v>
      </c>
      <c r="R22" s="5" t="s">
        <v>70</v>
      </c>
    </row>
    <row r="23" spans="1:18" x14ac:dyDescent="0.2">
      <c r="A23" s="5" t="s">
        <v>67</v>
      </c>
      <c r="B23" s="5">
        <v>8.3000000000000007</v>
      </c>
      <c r="C23" s="5" t="s">
        <v>74</v>
      </c>
      <c r="D23" s="4" t="s">
        <v>22</v>
      </c>
      <c r="E23" s="4" t="s">
        <v>23</v>
      </c>
      <c r="F23" s="5" t="s">
        <v>24</v>
      </c>
      <c r="G23" s="5" t="s">
        <v>75</v>
      </c>
      <c r="H23" s="5">
        <v>5</v>
      </c>
      <c r="I23" s="5">
        <v>1</v>
      </c>
      <c r="J23" s="5">
        <v>4</v>
      </c>
      <c r="K23" s="5" t="s">
        <v>33</v>
      </c>
      <c r="L23" s="5">
        <v>0</v>
      </c>
      <c r="M23" s="12">
        <v>14.6</v>
      </c>
      <c r="N23" s="11" t="s">
        <v>34</v>
      </c>
      <c r="O23" s="5" t="s">
        <v>26</v>
      </c>
      <c r="P23" s="5">
        <v>10.16469</v>
      </c>
      <c r="Q23" s="12">
        <v>63.393410000000003</v>
      </c>
      <c r="R23" s="5" t="s">
        <v>70</v>
      </c>
    </row>
    <row r="24" spans="1:18" x14ac:dyDescent="0.2">
      <c r="A24" s="5" t="s">
        <v>76</v>
      </c>
      <c r="B24" s="5">
        <v>9.1</v>
      </c>
      <c r="C24" s="5" t="s">
        <v>77</v>
      </c>
      <c r="D24" s="4" t="s">
        <v>22</v>
      </c>
      <c r="E24" s="4" t="s">
        <v>23</v>
      </c>
      <c r="F24" s="5" t="s">
        <v>78</v>
      </c>
      <c r="G24" s="5" t="s">
        <v>79</v>
      </c>
      <c r="H24" s="5">
        <v>5.01</v>
      </c>
      <c r="I24" s="5">
        <v>1</v>
      </c>
      <c r="J24" s="5">
        <v>1</v>
      </c>
      <c r="K24" s="5" t="s">
        <v>33</v>
      </c>
      <c r="L24" s="5">
        <v>0</v>
      </c>
      <c r="M24" s="12">
        <v>14.6</v>
      </c>
      <c r="N24" s="11" t="s">
        <v>34</v>
      </c>
      <c r="O24" s="5" t="s">
        <v>26</v>
      </c>
      <c r="P24" s="5">
        <v>10.162699999999999</v>
      </c>
      <c r="Q24" s="12">
        <v>63.384349999999998</v>
      </c>
      <c r="R24" s="5" t="s">
        <v>80</v>
      </c>
    </row>
    <row r="25" spans="1:18" x14ac:dyDescent="0.2">
      <c r="A25" s="5" t="s">
        <v>76</v>
      </c>
      <c r="B25" s="5">
        <v>9.1999999999999993</v>
      </c>
      <c r="C25" s="5" t="s">
        <v>81</v>
      </c>
      <c r="D25" s="4" t="s">
        <v>22</v>
      </c>
      <c r="E25" s="4" t="s">
        <v>23</v>
      </c>
      <c r="F25" s="5" t="s">
        <v>78</v>
      </c>
      <c r="G25" s="5" t="s">
        <v>82</v>
      </c>
      <c r="H25" s="5">
        <v>5.01</v>
      </c>
      <c r="I25" s="5">
        <v>0</v>
      </c>
      <c r="J25" s="5">
        <v>0</v>
      </c>
      <c r="K25" s="5" t="s">
        <v>33</v>
      </c>
      <c r="L25" s="5">
        <v>0</v>
      </c>
      <c r="M25" s="12">
        <v>14.6</v>
      </c>
      <c r="N25" s="11" t="s">
        <v>34</v>
      </c>
      <c r="O25" s="5" t="s">
        <v>26</v>
      </c>
      <c r="P25" s="5">
        <v>10.15114</v>
      </c>
      <c r="Q25" s="12">
        <v>63.383209999999998</v>
      </c>
      <c r="R25" s="5" t="s">
        <v>83</v>
      </c>
    </row>
    <row r="26" spans="1:18" x14ac:dyDescent="0.2">
      <c r="A26" s="5" t="s">
        <v>76</v>
      </c>
      <c r="B26" s="5">
        <v>9.3000000000000007</v>
      </c>
      <c r="C26" s="5" t="s">
        <v>84</v>
      </c>
      <c r="D26" s="4" t="s">
        <v>22</v>
      </c>
      <c r="E26" s="4" t="s">
        <v>23</v>
      </c>
      <c r="F26" s="5" t="s">
        <v>39</v>
      </c>
      <c r="G26" s="5" t="s">
        <v>85</v>
      </c>
      <c r="H26" s="5">
        <v>5.04</v>
      </c>
      <c r="I26" s="5">
        <v>3</v>
      </c>
      <c r="J26" s="5">
        <v>3</v>
      </c>
      <c r="K26" s="5" t="s">
        <v>33</v>
      </c>
      <c r="L26" s="5">
        <v>0</v>
      </c>
      <c r="M26" s="12">
        <v>14.6</v>
      </c>
      <c r="N26" s="11" t="s">
        <v>34</v>
      </c>
      <c r="O26" s="5" t="s">
        <v>26</v>
      </c>
      <c r="P26" s="5">
        <v>10.15114</v>
      </c>
      <c r="Q26" s="12">
        <v>63.383209999999998</v>
      </c>
      <c r="R26" s="5" t="s">
        <v>83</v>
      </c>
    </row>
    <row r="27" spans="1:18" x14ac:dyDescent="0.2">
      <c r="A27" s="5" t="s">
        <v>76</v>
      </c>
      <c r="B27" s="5">
        <v>9.4</v>
      </c>
      <c r="C27" s="5" t="s">
        <v>86</v>
      </c>
      <c r="D27" s="4" t="s">
        <v>22</v>
      </c>
      <c r="E27" s="4" t="s">
        <v>23</v>
      </c>
      <c r="F27" s="5" t="s">
        <v>39</v>
      </c>
      <c r="G27" s="5" t="s">
        <v>40</v>
      </c>
      <c r="H27" s="5">
        <v>5</v>
      </c>
      <c r="I27" s="5">
        <v>0</v>
      </c>
      <c r="J27" s="5">
        <v>0</v>
      </c>
      <c r="K27" s="5" t="s">
        <v>33</v>
      </c>
      <c r="L27" s="5">
        <v>0</v>
      </c>
      <c r="M27" s="12">
        <v>14.6</v>
      </c>
      <c r="N27" s="11" t="s">
        <v>34</v>
      </c>
      <c r="O27" s="5" t="s">
        <v>26</v>
      </c>
      <c r="P27" s="5">
        <v>10.15114</v>
      </c>
      <c r="Q27" s="12">
        <v>63.383209999999998</v>
      </c>
      <c r="R27" s="5" t="s">
        <v>83</v>
      </c>
    </row>
    <row r="28" spans="1:18" x14ac:dyDescent="0.2">
      <c r="A28" s="5" t="s">
        <v>87</v>
      </c>
      <c r="B28" s="5">
        <v>10.1</v>
      </c>
      <c r="C28" s="5" t="s">
        <v>88</v>
      </c>
      <c r="D28" s="4" t="s">
        <v>22</v>
      </c>
      <c r="E28" s="4" t="s">
        <v>23</v>
      </c>
      <c r="F28" s="5" t="s">
        <v>58</v>
      </c>
      <c r="G28" s="5" t="s">
        <v>89</v>
      </c>
      <c r="H28" s="5">
        <v>5</v>
      </c>
      <c r="I28" s="5">
        <v>13</v>
      </c>
      <c r="J28" s="5">
        <v>0</v>
      </c>
      <c r="K28" s="5"/>
      <c r="L28" s="5"/>
      <c r="M28" s="12"/>
      <c r="N28" s="11" t="s">
        <v>58</v>
      </c>
      <c r="O28" s="5"/>
      <c r="P28" s="5">
        <v>10.45153</v>
      </c>
      <c r="Q28" s="12">
        <v>63.431690000000003</v>
      </c>
      <c r="R28" s="5" t="s">
        <v>90</v>
      </c>
    </row>
    <row r="29" spans="1:18" x14ac:dyDescent="0.2">
      <c r="A29" s="5" t="s">
        <v>87</v>
      </c>
      <c r="B29" s="5">
        <v>10.199999999999999</v>
      </c>
      <c r="C29" s="5" t="s">
        <v>91</v>
      </c>
      <c r="D29" s="4" t="s">
        <v>22</v>
      </c>
      <c r="E29" s="4" t="s">
        <v>23</v>
      </c>
      <c r="F29" s="5" t="s">
        <v>58</v>
      </c>
      <c r="G29" s="5" t="s">
        <v>92</v>
      </c>
      <c r="H29" s="5">
        <v>4.99</v>
      </c>
      <c r="I29" s="5">
        <v>0</v>
      </c>
      <c r="J29" s="5">
        <v>0</v>
      </c>
      <c r="K29" s="5"/>
      <c r="L29" s="5"/>
      <c r="M29" s="12"/>
      <c r="N29" s="11" t="s">
        <v>58</v>
      </c>
      <c r="O29" s="5"/>
      <c r="P29" s="5">
        <v>10.45153</v>
      </c>
      <c r="Q29" s="12">
        <v>63.431690000000003</v>
      </c>
      <c r="R29" s="5" t="s">
        <v>90</v>
      </c>
    </row>
    <row r="30" spans="1:18" x14ac:dyDescent="0.2">
      <c r="A30" s="5" t="s">
        <v>93</v>
      </c>
      <c r="B30" s="5">
        <v>11.1</v>
      </c>
      <c r="C30" s="5" t="s">
        <v>94</v>
      </c>
      <c r="D30" s="4" t="s">
        <v>22</v>
      </c>
      <c r="E30" s="4" t="s">
        <v>23</v>
      </c>
      <c r="F30" s="5" t="s">
        <v>24</v>
      </c>
      <c r="G30" s="5" t="s">
        <v>24</v>
      </c>
      <c r="H30" s="5">
        <v>4.99</v>
      </c>
      <c r="I30" s="5">
        <v>0</v>
      </c>
      <c r="J30" s="5">
        <v>0</v>
      </c>
      <c r="K30" s="5"/>
      <c r="L30" s="5">
        <v>0</v>
      </c>
      <c r="M30" s="12">
        <v>12.8</v>
      </c>
      <c r="N30" s="11" t="s">
        <v>95</v>
      </c>
      <c r="O30" s="5" t="s">
        <v>26</v>
      </c>
      <c r="P30" s="5">
        <v>10.48339</v>
      </c>
      <c r="Q30" s="12">
        <v>63.32817</v>
      </c>
      <c r="R30" s="5" t="s">
        <v>96</v>
      </c>
    </row>
    <row r="31" spans="1:18" x14ac:dyDescent="0.2">
      <c r="A31" s="5" t="s">
        <v>93</v>
      </c>
      <c r="B31" s="5">
        <v>11.2</v>
      </c>
      <c r="C31" s="5" t="s">
        <v>97</v>
      </c>
      <c r="D31" s="4" t="s">
        <v>22</v>
      </c>
      <c r="E31" s="4" t="s">
        <v>23</v>
      </c>
      <c r="F31" s="5" t="s">
        <v>24</v>
      </c>
      <c r="G31" s="5" t="s">
        <v>24</v>
      </c>
      <c r="H31" s="5">
        <v>5.01</v>
      </c>
      <c r="I31" s="5">
        <v>1</v>
      </c>
      <c r="J31" s="5">
        <v>1</v>
      </c>
      <c r="K31" s="5"/>
      <c r="L31" s="5">
        <v>0</v>
      </c>
      <c r="M31" s="12">
        <v>12.8</v>
      </c>
      <c r="N31" s="11" t="s">
        <v>95</v>
      </c>
      <c r="O31" s="5" t="s">
        <v>26</v>
      </c>
      <c r="P31" s="5">
        <v>10.48339</v>
      </c>
      <c r="Q31" s="12">
        <v>63.32817</v>
      </c>
      <c r="R31" s="5" t="s">
        <v>96</v>
      </c>
    </row>
    <row r="32" spans="1:18" x14ac:dyDescent="0.2">
      <c r="A32" s="5" t="s">
        <v>93</v>
      </c>
      <c r="B32" s="5">
        <v>11.3</v>
      </c>
      <c r="C32" s="5" t="s">
        <v>98</v>
      </c>
      <c r="D32" s="4" t="s">
        <v>22</v>
      </c>
      <c r="E32" s="4" t="s">
        <v>23</v>
      </c>
      <c r="F32" s="5" t="s">
        <v>24</v>
      </c>
      <c r="G32" s="5" t="s">
        <v>24</v>
      </c>
      <c r="H32" s="5">
        <v>5.04</v>
      </c>
      <c r="I32" s="5">
        <v>5</v>
      </c>
      <c r="J32" s="5">
        <v>5</v>
      </c>
      <c r="K32" s="5"/>
      <c r="L32" s="5">
        <v>0</v>
      </c>
      <c r="M32" s="12">
        <v>12.8</v>
      </c>
      <c r="N32" s="11" t="s">
        <v>95</v>
      </c>
      <c r="O32" s="5" t="s">
        <v>26</v>
      </c>
      <c r="P32" s="5">
        <v>10.48339</v>
      </c>
      <c r="Q32" s="12">
        <v>63.32817</v>
      </c>
      <c r="R32" s="5" t="s">
        <v>96</v>
      </c>
    </row>
    <row r="33" spans="1:20" x14ac:dyDescent="0.2">
      <c r="A33" s="5" t="s">
        <v>93</v>
      </c>
      <c r="B33" s="5">
        <v>11.4</v>
      </c>
      <c r="C33" s="5" t="s">
        <v>99</v>
      </c>
      <c r="D33" s="4" t="s">
        <v>22</v>
      </c>
      <c r="E33" s="4" t="s">
        <v>23</v>
      </c>
      <c r="F33" s="5" t="s">
        <v>24</v>
      </c>
      <c r="G33" s="5" t="s">
        <v>24</v>
      </c>
      <c r="H33" s="5">
        <v>5.03</v>
      </c>
      <c r="I33" s="5">
        <v>0</v>
      </c>
      <c r="J33" s="5">
        <v>0</v>
      </c>
      <c r="K33" s="5"/>
      <c r="L33" s="5">
        <v>0</v>
      </c>
      <c r="M33" s="12">
        <v>12.8</v>
      </c>
      <c r="N33" s="11" t="s">
        <v>95</v>
      </c>
      <c r="O33" s="5" t="s">
        <v>26</v>
      </c>
      <c r="P33" s="5">
        <v>10.48339</v>
      </c>
      <c r="Q33" s="12">
        <v>63.32817</v>
      </c>
      <c r="R33" s="5" t="s">
        <v>96</v>
      </c>
    </row>
    <row r="34" spans="1:20" x14ac:dyDescent="0.2">
      <c r="A34" s="5" t="s">
        <v>100</v>
      </c>
      <c r="B34" s="5">
        <v>12.1</v>
      </c>
      <c r="C34" s="5" t="s">
        <v>101</v>
      </c>
      <c r="D34" s="4" t="s">
        <v>102</v>
      </c>
      <c r="E34" s="4"/>
      <c r="F34" s="5" t="s">
        <v>39</v>
      </c>
      <c r="G34" s="5" t="s">
        <v>40</v>
      </c>
      <c r="H34" s="5">
        <v>5.03</v>
      </c>
      <c r="I34" s="5"/>
      <c r="J34" s="5"/>
      <c r="K34" s="5"/>
      <c r="L34" s="5">
        <v>0</v>
      </c>
      <c r="M34" s="12">
        <v>12.8</v>
      </c>
      <c r="N34" s="11" t="s">
        <v>95</v>
      </c>
      <c r="O34" s="5" t="s">
        <v>26</v>
      </c>
      <c r="P34" s="5">
        <v>10.47241</v>
      </c>
      <c r="Q34" s="12">
        <v>63.3202</v>
      </c>
      <c r="R34" s="5" t="s">
        <v>103</v>
      </c>
    </row>
    <row r="35" spans="1:20" x14ac:dyDescent="0.2">
      <c r="A35" s="5" t="s">
        <v>100</v>
      </c>
      <c r="B35" s="5">
        <v>12.2</v>
      </c>
      <c r="C35" s="5" t="s">
        <v>104</v>
      </c>
      <c r="D35" s="4" t="s">
        <v>22</v>
      </c>
      <c r="E35" s="4" t="s">
        <v>23</v>
      </c>
      <c r="F35" s="5" t="s">
        <v>39</v>
      </c>
      <c r="G35" s="5" t="s">
        <v>40</v>
      </c>
      <c r="H35" s="5">
        <v>5.0199999999999996</v>
      </c>
      <c r="I35" s="5">
        <v>0</v>
      </c>
      <c r="J35" s="5">
        <v>0</v>
      </c>
      <c r="K35" s="5"/>
      <c r="L35" s="5">
        <v>0</v>
      </c>
      <c r="M35" s="12">
        <v>12.8</v>
      </c>
      <c r="N35" s="11" t="s">
        <v>95</v>
      </c>
      <c r="O35" s="5" t="s">
        <v>26</v>
      </c>
      <c r="P35" s="5">
        <v>10.47241</v>
      </c>
      <c r="Q35" s="12">
        <v>63.3202</v>
      </c>
      <c r="R35" s="5" t="s">
        <v>103</v>
      </c>
    </row>
    <row r="36" spans="1:20" x14ac:dyDescent="0.2">
      <c r="A36" s="5" t="s">
        <v>100</v>
      </c>
      <c r="B36" s="5">
        <v>12.3</v>
      </c>
      <c r="C36" s="5" t="s">
        <v>105</v>
      </c>
      <c r="D36" s="4" t="s">
        <v>22</v>
      </c>
      <c r="E36" s="4" t="s">
        <v>23</v>
      </c>
      <c r="F36" s="5" t="s">
        <v>39</v>
      </c>
      <c r="G36" s="5" t="s">
        <v>40</v>
      </c>
      <c r="H36" s="5">
        <v>5</v>
      </c>
      <c r="I36" s="5">
        <v>1</v>
      </c>
      <c r="J36" s="5">
        <v>1</v>
      </c>
      <c r="K36" s="5"/>
      <c r="L36" s="5">
        <v>0</v>
      </c>
      <c r="M36" s="12">
        <v>12.8</v>
      </c>
      <c r="N36" s="11" t="s">
        <v>95</v>
      </c>
      <c r="O36" s="5" t="s">
        <v>26</v>
      </c>
      <c r="P36" s="5">
        <v>10.47241</v>
      </c>
      <c r="Q36" s="12">
        <v>63.3202</v>
      </c>
      <c r="R36" s="5" t="s">
        <v>103</v>
      </c>
    </row>
    <row r="37" spans="1:20" x14ac:dyDescent="0.2">
      <c r="A37" s="5" t="s">
        <v>100</v>
      </c>
      <c r="B37" s="5">
        <v>12.4</v>
      </c>
      <c r="C37" s="5" t="s">
        <v>106</v>
      </c>
      <c r="D37" s="4" t="s">
        <v>22</v>
      </c>
      <c r="E37" s="4" t="s">
        <v>23</v>
      </c>
      <c r="F37" s="5" t="s">
        <v>24</v>
      </c>
      <c r="G37" s="5" t="s">
        <v>107</v>
      </c>
      <c r="H37" s="5">
        <v>5.01</v>
      </c>
      <c r="I37" s="5">
        <v>0</v>
      </c>
      <c r="J37" s="5">
        <v>0</v>
      </c>
      <c r="K37" s="5"/>
      <c r="L37" s="5">
        <v>0</v>
      </c>
      <c r="M37" s="12">
        <v>12.8</v>
      </c>
      <c r="N37" s="11" t="s">
        <v>95</v>
      </c>
      <c r="O37" s="5" t="s">
        <v>26</v>
      </c>
      <c r="P37" s="5">
        <v>10.47241</v>
      </c>
      <c r="Q37" s="12">
        <v>63.3202</v>
      </c>
      <c r="R37" s="5" t="s">
        <v>103</v>
      </c>
    </row>
    <row r="38" spans="1:20" x14ac:dyDescent="0.2">
      <c r="A38" s="5" t="s">
        <v>108</v>
      </c>
      <c r="B38" s="5">
        <v>13.1</v>
      </c>
      <c r="C38" s="5" t="s">
        <v>97</v>
      </c>
      <c r="D38" s="4" t="s">
        <v>22</v>
      </c>
      <c r="E38" s="4" t="s">
        <v>23</v>
      </c>
      <c r="F38" s="5" t="s">
        <v>29</v>
      </c>
      <c r="G38" s="5" t="s">
        <v>109</v>
      </c>
      <c r="H38" s="5">
        <v>5</v>
      </c>
      <c r="I38" s="5">
        <v>0</v>
      </c>
      <c r="J38" s="5">
        <v>0</v>
      </c>
      <c r="K38" s="5"/>
      <c r="L38" s="5">
        <v>0</v>
      </c>
      <c r="M38" s="12">
        <v>12.8</v>
      </c>
      <c r="N38" s="11" t="s">
        <v>95</v>
      </c>
      <c r="O38" s="5" t="s">
        <v>26</v>
      </c>
      <c r="P38" s="5">
        <v>10.464740000000001</v>
      </c>
      <c r="Q38" s="12">
        <v>63.318089999999998</v>
      </c>
      <c r="R38" s="5" t="s">
        <v>110</v>
      </c>
    </row>
    <row r="39" spans="1:20" x14ac:dyDescent="0.2">
      <c r="A39" s="5" t="s">
        <v>108</v>
      </c>
      <c r="B39" s="5">
        <v>13.2</v>
      </c>
      <c r="C39" s="5" t="s">
        <v>111</v>
      </c>
      <c r="D39" s="4" t="s">
        <v>22</v>
      </c>
      <c r="E39" s="4" t="s">
        <v>23</v>
      </c>
      <c r="F39" s="5" t="s">
        <v>24</v>
      </c>
      <c r="G39" s="5" t="s">
        <v>112</v>
      </c>
      <c r="H39" s="5">
        <v>5.0199999999999996</v>
      </c>
      <c r="I39" s="5">
        <v>0</v>
      </c>
      <c r="J39" s="5">
        <v>0</v>
      </c>
      <c r="K39" s="5"/>
      <c r="L39" s="5">
        <v>0</v>
      </c>
      <c r="M39" s="12">
        <v>12.8</v>
      </c>
      <c r="N39" s="11" t="s">
        <v>95</v>
      </c>
      <c r="O39" s="5" t="s">
        <v>26</v>
      </c>
      <c r="P39" s="5">
        <v>10.464740000000001</v>
      </c>
      <c r="Q39" s="12">
        <v>63.318089999999998</v>
      </c>
      <c r="R39" s="5" t="s">
        <v>110</v>
      </c>
    </row>
    <row r="40" spans="1:20" x14ac:dyDescent="0.2">
      <c r="A40" s="5" t="s">
        <v>108</v>
      </c>
      <c r="B40" s="5">
        <v>13.3</v>
      </c>
      <c r="C40" s="5" t="s">
        <v>113</v>
      </c>
      <c r="D40" s="4" t="s">
        <v>22</v>
      </c>
      <c r="E40" s="4" t="s">
        <v>23</v>
      </c>
      <c r="F40" s="5" t="s">
        <v>24</v>
      </c>
      <c r="G40" s="5" t="s">
        <v>112</v>
      </c>
      <c r="H40" s="5">
        <v>5.01</v>
      </c>
      <c r="I40" s="5">
        <v>1</v>
      </c>
      <c r="J40" s="5">
        <v>1</v>
      </c>
      <c r="K40" s="5"/>
      <c r="L40" s="5">
        <v>0</v>
      </c>
      <c r="M40" s="12">
        <v>12.8</v>
      </c>
      <c r="N40" s="11" t="s">
        <v>95</v>
      </c>
      <c r="O40" s="5" t="s">
        <v>26</v>
      </c>
      <c r="P40" s="5">
        <v>10.464740000000001</v>
      </c>
      <c r="Q40" s="12">
        <v>63.318089999999998</v>
      </c>
      <c r="R40" s="5" t="s">
        <v>110</v>
      </c>
    </row>
    <row r="41" spans="1:20" x14ac:dyDescent="0.2">
      <c r="A41" s="5" t="s">
        <v>114</v>
      </c>
      <c r="B41" s="5">
        <v>14.1</v>
      </c>
      <c r="C41" s="5" t="s">
        <v>115</v>
      </c>
      <c r="D41" s="4" t="s">
        <v>22</v>
      </c>
      <c r="E41" s="4" t="s">
        <v>23</v>
      </c>
      <c r="F41" s="5" t="s">
        <v>29</v>
      </c>
      <c r="G41" s="5" t="s">
        <v>37</v>
      </c>
      <c r="H41" s="5">
        <v>5.0199999999999996</v>
      </c>
      <c r="I41" s="5">
        <v>0</v>
      </c>
      <c r="J41" s="5">
        <v>0</v>
      </c>
      <c r="K41" s="5"/>
      <c r="L41" s="5">
        <v>0</v>
      </c>
      <c r="M41" s="12">
        <v>12.8</v>
      </c>
      <c r="N41" s="11" t="s">
        <v>95</v>
      </c>
      <c r="O41" s="5" t="s">
        <v>26</v>
      </c>
      <c r="P41" s="5">
        <v>10.49357</v>
      </c>
      <c r="Q41" s="12">
        <v>63.294730000000001</v>
      </c>
      <c r="R41" s="5" t="s">
        <v>116</v>
      </c>
    </row>
    <row r="42" spans="1:20" x14ac:dyDescent="0.2">
      <c r="A42" s="5" t="s">
        <v>117</v>
      </c>
      <c r="B42" s="5">
        <v>15.1</v>
      </c>
      <c r="C42" s="5" t="s">
        <v>118</v>
      </c>
      <c r="D42" s="4" t="s">
        <v>22</v>
      </c>
      <c r="E42" s="4" t="s">
        <v>23</v>
      </c>
      <c r="F42" s="5" t="s">
        <v>39</v>
      </c>
      <c r="G42" s="5" t="s">
        <v>40</v>
      </c>
      <c r="H42" s="5">
        <v>5</v>
      </c>
      <c r="I42" s="5">
        <v>2</v>
      </c>
      <c r="J42" s="5">
        <v>4</v>
      </c>
      <c r="K42" s="5"/>
      <c r="L42" s="5">
        <v>0</v>
      </c>
      <c r="M42" s="12">
        <v>12.8</v>
      </c>
      <c r="N42" s="11" t="s">
        <v>95</v>
      </c>
      <c r="O42" s="5" t="s">
        <v>26</v>
      </c>
      <c r="P42" s="5">
        <v>10.477029999999999</v>
      </c>
      <c r="Q42" s="12">
        <v>63.292920000000002</v>
      </c>
      <c r="R42" s="5" t="s">
        <v>119</v>
      </c>
    </row>
    <row r="43" spans="1:20" x14ac:dyDescent="0.2">
      <c r="A43" s="5" t="s">
        <v>117</v>
      </c>
      <c r="B43" s="5">
        <v>15.2</v>
      </c>
      <c r="C43" s="5" t="s">
        <v>120</v>
      </c>
      <c r="D43" s="4" t="s">
        <v>22</v>
      </c>
      <c r="E43" s="4" t="s">
        <v>23</v>
      </c>
      <c r="F43" s="5" t="s">
        <v>39</v>
      </c>
      <c r="G43" s="5" t="s">
        <v>40</v>
      </c>
      <c r="H43" s="5">
        <v>5</v>
      </c>
      <c r="I43" s="5">
        <v>0</v>
      </c>
      <c r="J43" s="5">
        <v>0</v>
      </c>
      <c r="K43" s="5"/>
      <c r="L43" s="5">
        <v>0</v>
      </c>
      <c r="M43" s="12">
        <v>12.8</v>
      </c>
      <c r="N43" s="11" t="s">
        <v>95</v>
      </c>
      <c r="O43" s="5" t="s">
        <v>26</v>
      </c>
      <c r="P43" s="5">
        <v>10.477029999999999</v>
      </c>
      <c r="Q43" s="12">
        <v>63.292920000000002</v>
      </c>
      <c r="R43" s="5" t="s">
        <v>119</v>
      </c>
    </row>
    <row r="44" spans="1:20" x14ac:dyDescent="0.2">
      <c r="A44" s="5" t="s">
        <v>117</v>
      </c>
      <c r="B44" s="5">
        <v>15.3</v>
      </c>
      <c r="C44" s="5" t="s">
        <v>121</v>
      </c>
      <c r="D44" s="4" t="s">
        <v>102</v>
      </c>
      <c r="E44" s="4"/>
      <c r="F44" s="5" t="s">
        <v>39</v>
      </c>
      <c r="G44" s="5" t="s">
        <v>40</v>
      </c>
      <c r="H44" s="5">
        <v>5</v>
      </c>
      <c r="I44" s="5"/>
      <c r="J44" s="5"/>
      <c r="K44" s="5"/>
      <c r="L44" s="5">
        <v>0</v>
      </c>
      <c r="M44" s="12">
        <v>12.8</v>
      </c>
      <c r="N44" s="11" t="s">
        <v>95</v>
      </c>
      <c r="O44" s="5" t="s">
        <v>26</v>
      </c>
      <c r="P44" s="5">
        <v>10.477029999999999</v>
      </c>
      <c r="Q44" s="12">
        <v>63.292920000000002</v>
      </c>
      <c r="R44" s="5" t="s">
        <v>119</v>
      </c>
    </row>
    <row r="45" spans="1:20" x14ac:dyDescent="0.2">
      <c r="A45" s="5" t="s">
        <v>122</v>
      </c>
      <c r="B45" s="5">
        <v>16.100000000000001</v>
      </c>
      <c r="C45" s="5" t="s">
        <v>123</v>
      </c>
      <c r="D45" s="4" t="s">
        <v>22</v>
      </c>
      <c r="E45" s="4" t="s">
        <v>23</v>
      </c>
      <c r="F45" s="5" t="s">
        <v>24</v>
      </c>
      <c r="G45" s="5" t="s">
        <v>124</v>
      </c>
      <c r="H45" s="5">
        <v>5.01</v>
      </c>
      <c r="I45" s="5">
        <v>3</v>
      </c>
      <c r="J45" s="5">
        <v>3</v>
      </c>
      <c r="K45" s="5"/>
      <c r="L45" s="5">
        <v>0</v>
      </c>
      <c r="M45" s="12">
        <v>12.8</v>
      </c>
      <c r="N45" s="11" t="s">
        <v>95</v>
      </c>
      <c r="O45" s="5" t="s">
        <v>26</v>
      </c>
      <c r="P45" s="5">
        <v>10.439679999999999</v>
      </c>
      <c r="Q45" s="12">
        <v>63.290140000000001</v>
      </c>
      <c r="R45" s="5" t="s">
        <v>125</v>
      </c>
    </row>
    <row r="46" spans="1:20" x14ac:dyDescent="0.2">
      <c r="A46" s="5" t="s">
        <v>122</v>
      </c>
      <c r="B46" s="5">
        <v>16.2</v>
      </c>
      <c r="C46" s="5" t="s">
        <v>126</v>
      </c>
      <c r="D46" s="4" t="s">
        <v>22</v>
      </c>
      <c r="E46" s="4" t="s">
        <v>23</v>
      </c>
      <c r="F46" s="5" t="s">
        <v>29</v>
      </c>
      <c r="G46" s="5" t="s">
        <v>127</v>
      </c>
      <c r="H46" s="5">
        <v>5.03</v>
      </c>
      <c r="I46" s="5">
        <v>1</v>
      </c>
      <c r="J46" s="5" t="s">
        <v>128</v>
      </c>
      <c r="K46" s="5"/>
      <c r="L46" s="5">
        <v>0</v>
      </c>
      <c r="M46" s="12">
        <v>12.8</v>
      </c>
      <c r="N46" s="11" t="s">
        <v>95</v>
      </c>
      <c r="O46" s="5" t="s">
        <v>26</v>
      </c>
      <c r="P46" s="5">
        <v>10.439679999999999</v>
      </c>
      <c r="Q46" s="12">
        <v>63.290140000000001</v>
      </c>
      <c r="R46" s="5" t="s">
        <v>125</v>
      </c>
      <c r="T46" t="s">
        <v>129</v>
      </c>
    </row>
    <row r="47" spans="1:20" x14ac:dyDescent="0.2">
      <c r="A47" s="5" t="s">
        <v>122</v>
      </c>
      <c r="B47" s="5">
        <v>16.3</v>
      </c>
      <c r="C47" s="5" t="s">
        <v>130</v>
      </c>
      <c r="D47" s="4" t="s">
        <v>22</v>
      </c>
      <c r="E47" s="4" t="s">
        <v>23</v>
      </c>
      <c r="F47" s="5" t="s">
        <v>24</v>
      </c>
      <c r="G47" s="5" t="s">
        <v>24</v>
      </c>
      <c r="H47" s="5">
        <v>5.01</v>
      </c>
      <c r="I47" s="5">
        <v>1</v>
      </c>
      <c r="J47" s="5">
        <v>1</v>
      </c>
      <c r="K47" s="5"/>
      <c r="L47" s="5">
        <v>0</v>
      </c>
      <c r="M47" s="12">
        <v>12.8</v>
      </c>
      <c r="N47" s="11" t="s">
        <v>95</v>
      </c>
      <c r="O47" s="5" t="s">
        <v>26</v>
      </c>
      <c r="P47" s="5">
        <v>10.439679999999999</v>
      </c>
      <c r="Q47" s="12">
        <v>63.290140000000001</v>
      </c>
      <c r="R47" s="5" t="s">
        <v>125</v>
      </c>
    </row>
    <row r="48" spans="1:20" x14ac:dyDescent="0.2">
      <c r="A48" s="5" t="s">
        <v>122</v>
      </c>
      <c r="B48" s="5">
        <v>16.399999999999999</v>
      </c>
      <c r="C48" s="5" t="s">
        <v>131</v>
      </c>
      <c r="D48" s="4" t="s">
        <v>22</v>
      </c>
      <c r="E48" s="4" t="s">
        <v>23</v>
      </c>
      <c r="F48" s="5" t="s">
        <v>29</v>
      </c>
      <c r="G48" s="5" t="s">
        <v>109</v>
      </c>
      <c r="H48" s="5">
        <v>5</v>
      </c>
      <c r="I48" s="5">
        <v>0</v>
      </c>
      <c r="J48" s="5">
        <v>0</v>
      </c>
      <c r="K48" s="5"/>
      <c r="L48" s="5">
        <v>0</v>
      </c>
      <c r="M48" s="12">
        <v>12.8</v>
      </c>
      <c r="N48" s="11" t="s">
        <v>95</v>
      </c>
      <c r="O48" s="5" t="s">
        <v>26</v>
      </c>
      <c r="P48" s="5">
        <v>10.439679999999999</v>
      </c>
      <c r="Q48" s="12">
        <v>63.290140000000001</v>
      </c>
      <c r="R48" s="5" t="s">
        <v>125</v>
      </c>
    </row>
    <row r="49" spans="1:18" x14ac:dyDescent="0.2">
      <c r="A49" s="5" t="s">
        <v>122</v>
      </c>
      <c r="B49" s="5">
        <v>16.5</v>
      </c>
      <c r="C49" s="5" t="s">
        <v>132</v>
      </c>
      <c r="D49" s="4" t="s">
        <v>22</v>
      </c>
      <c r="E49" s="4" t="s">
        <v>23</v>
      </c>
      <c r="F49" s="5" t="s">
        <v>39</v>
      </c>
      <c r="G49" s="5" t="s">
        <v>40</v>
      </c>
      <c r="H49" s="5">
        <v>5.03</v>
      </c>
      <c r="I49" s="5">
        <v>2</v>
      </c>
      <c r="J49" s="5">
        <v>2</v>
      </c>
      <c r="K49" s="5"/>
      <c r="L49" s="5">
        <v>0</v>
      </c>
      <c r="M49" s="12">
        <v>12.8</v>
      </c>
      <c r="N49" s="11" t="s">
        <v>95</v>
      </c>
      <c r="O49" s="5" t="s">
        <v>26</v>
      </c>
      <c r="P49" s="5">
        <v>10.439679999999999</v>
      </c>
      <c r="Q49" s="12">
        <v>63.290140000000001</v>
      </c>
      <c r="R49" s="5" t="s">
        <v>125</v>
      </c>
    </row>
    <row r="50" spans="1:18" x14ac:dyDescent="0.2">
      <c r="A50" s="5" t="s">
        <v>133</v>
      </c>
      <c r="B50" s="5">
        <v>17.100000000000001</v>
      </c>
      <c r="C50" s="5" t="s">
        <v>134</v>
      </c>
      <c r="D50" s="4" t="s">
        <v>22</v>
      </c>
      <c r="E50" s="4" t="s">
        <v>23</v>
      </c>
      <c r="F50" s="5" t="s">
        <v>58</v>
      </c>
      <c r="G50" s="5" t="s">
        <v>135</v>
      </c>
      <c r="H50" s="5">
        <v>5.0199999999999996</v>
      </c>
      <c r="I50" s="5">
        <v>0</v>
      </c>
      <c r="J50" s="5">
        <v>0</v>
      </c>
      <c r="K50" s="5"/>
      <c r="L50" s="5"/>
      <c r="M50" s="12"/>
      <c r="N50" s="11" t="s">
        <v>136</v>
      </c>
      <c r="O50" s="5" t="s">
        <v>136</v>
      </c>
      <c r="P50" s="5">
        <v>10.37534</v>
      </c>
      <c r="Q50" s="12">
        <v>63.317599999999999</v>
      </c>
      <c r="R50" s="5" t="s">
        <v>137</v>
      </c>
    </row>
    <row r="51" spans="1:18" x14ac:dyDescent="0.2">
      <c r="A51" s="5" t="s">
        <v>138</v>
      </c>
      <c r="B51" s="5">
        <v>18.100000000000001</v>
      </c>
      <c r="C51" s="5" t="s">
        <v>139</v>
      </c>
      <c r="D51" s="4" t="s">
        <v>22</v>
      </c>
      <c r="E51" s="4" t="s">
        <v>23</v>
      </c>
      <c r="F51" s="5" t="s">
        <v>29</v>
      </c>
      <c r="G51" s="5" t="s">
        <v>69</v>
      </c>
      <c r="H51" s="5">
        <v>5.0199999999999996</v>
      </c>
      <c r="I51" s="5">
        <v>1</v>
      </c>
      <c r="J51" s="5">
        <v>1</v>
      </c>
      <c r="K51" s="5" t="s">
        <v>140</v>
      </c>
      <c r="L51" s="5">
        <v>1.3</v>
      </c>
      <c r="M51" s="12">
        <v>12.9</v>
      </c>
      <c r="N51" s="11" t="s">
        <v>141</v>
      </c>
      <c r="O51" s="5" t="s">
        <v>141</v>
      </c>
      <c r="P51" s="5">
        <v>9.2039718540000006</v>
      </c>
      <c r="Q51" s="12">
        <v>63.068470300000001</v>
      </c>
      <c r="R51" s="5" t="s">
        <v>142</v>
      </c>
    </row>
    <row r="52" spans="1:18" x14ac:dyDescent="0.2">
      <c r="A52" s="5" t="s">
        <v>138</v>
      </c>
      <c r="B52" s="5">
        <v>18.2</v>
      </c>
      <c r="C52" s="5" t="s">
        <v>143</v>
      </c>
      <c r="D52" s="4" t="s">
        <v>22</v>
      </c>
      <c r="E52" s="4" t="s">
        <v>23</v>
      </c>
      <c r="F52" s="5" t="s">
        <v>29</v>
      </c>
      <c r="G52" s="5" t="s">
        <v>69</v>
      </c>
      <c r="H52" s="5">
        <v>5.08</v>
      </c>
      <c r="I52" s="5">
        <v>1</v>
      </c>
      <c r="J52" s="5">
        <v>1</v>
      </c>
      <c r="K52" s="5" t="s">
        <v>140</v>
      </c>
      <c r="L52" s="5">
        <v>1.3</v>
      </c>
      <c r="M52" s="12">
        <v>12.9</v>
      </c>
      <c r="N52" s="11" t="s">
        <v>141</v>
      </c>
      <c r="O52" s="5" t="s">
        <v>141</v>
      </c>
      <c r="P52" s="5">
        <v>9.2045754570000007</v>
      </c>
      <c r="Q52" s="12">
        <v>63.068988789999999</v>
      </c>
      <c r="R52" s="5" t="s">
        <v>144</v>
      </c>
    </row>
    <row r="53" spans="1:18" x14ac:dyDescent="0.2">
      <c r="A53" s="5" t="s">
        <v>138</v>
      </c>
      <c r="B53" s="5">
        <v>18.3</v>
      </c>
      <c r="C53" s="5" t="s">
        <v>145</v>
      </c>
      <c r="D53" s="4" t="s">
        <v>22</v>
      </c>
      <c r="E53" s="4" t="s">
        <v>23</v>
      </c>
      <c r="F53" s="5" t="s">
        <v>24</v>
      </c>
      <c r="G53" s="5" t="s">
        <v>24</v>
      </c>
      <c r="H53" s="5">
        <v>5.08</v>
      </c>
      <c r="I53" s="5">
        <v>5</v>
      </c>
      <c r="J53" s="5">
        <v>5</v>
      </c>
      <c r="K53" s="5" t="s">
        <v>140</v>
      </c>
      <c r="L53" s="5">
        <v>1.3</v>
      </c>
      <c r="M53" s="12">
        <v>12.9</v>
      </c>
      <c r="N53" s="11" t="s">
        <v>141</v>
      </c>
      <c r="O53" s="5" t="s">
        <v>141</v>
      </c>
      <c r="P53" s="5">
        <v>9.2059070619999996</v>
      </c>
      <c r="Q53" s="12">
        <v>63.06902127</v>
      </c>
      <c r="R53" s="5" t="s">
        <v>146</v>
      </c>
    </row>
    <row r="54" spans="1:18" x14ac:dyDescent="0.2">
      <c r="A54" s="5" t="s">
        <v>138</v>
      </c>
      <c r="B54" s="5">
        <v>18.399999999999999</v>
      </c>
      <c r="C54" s="5" t="s">
        <v>147</v>
      </c>
      <c r="D54" s="4" t="s">
        <v>22</v>
      </c>
      <c r="E54" s="4" t="s">
        <v>23</v>
      </c>
      <c r="F54" s="5" t="s">
        <v>24</v>
      </c>
      <c r="G54" s="5" t="s">
        <v>24</v>
      </c>
      <c r="H54" s="5">
        <v>5.05</v>
      </c>
      <c r="I54" s="5">
        <v>1</v>
      </c>
      <c r="J54" s="5">
        <v>1</v>
      </c>
      <c r="K54" s="5" t="s">
        <v>140</v>
      </c>
      <c r="L54" s="5">
        <v>1.3</v>
      </c>
      <c r="M54" s="12">
        <v>12.9</v>
      </c>
      <c r="N54" s="11" t="s">
        <v>141</v>
      </c>
      <c r="O54" s="5" t="s">
        <v>141</v>
      </c>
      <c r="P54" s="5">
        <v>9.2072295440000005</v>
      </c>
      <c r="Q54" s="12">
        <v>63.069723199999999</v>
      </c>
      <c r="R54" s="5" t="s">
        <v>148</v>
      </c>
    </row>
    <row r="55" spans="1:18" x14ac:dyDescent="0.2">
      <c r="A55" s="5" t="s">
        <v>149</v>
      </c>
      <c r="B55" s="5">
        <v>19.100000000000001</v>
      </c>
      <c r="C55" s="5" t="s">
        <v>150</v>
      </c>
      <c r="D55" s="4" t="s">
        <v>22</v>
      </c>
      <c r="E55" s="4" t="s">
        <v>23</v>
      </c>
      <c r="F55" s="5" t="s">
        <v>24</v>
      </c>
      <c r="G55" s="5" t="s">
        <v>24</v>
      </c>
      <c r="H55" s="5">
        <v>5.03</v>
      </c>
      <c r="I55" s="5">
        <v>1</v>
      </c>
      <c r="J55" s="5">
        <v>1</v>
      </c>
      <c r="K55" s="5" t="s">
        <v>140</v>
      </c>
      <c r="L55" s="5">
        <v>1.3</v>
      </c>
      <c r="M55" s="12">
        <v>12.9</v>
      </c>
      <c r="N55" s="11" t="s">
        <v>141</v>
      </c>
      <c r="O55" s="5" t="s">
        <v>141</v>
      </c>
      <c r="P55" s="5">
        <v>9.3524047629999991</v>
      </c>
      <c r="Q55" s="12">
        <v>63.136770759999997</v>
      </c>
      <c r="R55" s="5" t="s">
        <v>151</v>
      </c>
    </row>
    <row r="56" spans="1:18" x14ac:dyDescent="0.2">
      <c r="A56" s="5" t="s">
        <v>149</v>
      </c>
      <c r="B56" s="5">
        <v>19.2</v>
      </c>
      <c r="C56" s="5" t="s">
        <v>152</v>
      </c>
      <c r="D56" s="4" t="s">
        <v>22</v>
      </c>
      <c r="E56" s="4" t="s">
        <v>23</v>
      </c>
      <c r="F56" s="5" t="s">
        <v>58</v>
      </c>
      <c r="G56" s="5" t="s">
        <v>153</v>
      </c>
      <c r="H56" s="5">
        <v>5.05</v>
      </c>
      <c r="I56" s="5">
        <v>1</v>
      </c>
      <c r="J56" s="5">
        <v>1</v>
      </c>
      <c r="K56" s="5" t="s">
        <v>140</v>
      </c>
      <c r="L56" s="5">
        <v>1.3</v>
      </c>
      <c r="M56" s="12">
        <v>12.9</v>
      </c>
      <c r="N56" s="11" t="s">
        <v>141</v>
      </c>
      <c r="O56" s="5" t="s">
        <v>141</v>
      </c>
      <c r="P56" s="5">
        <v>9.3518713429999991</v>
      </c>
      <c r="Q56" s="12">
        <v>63.136936759999998</v>
      </c>
      <c r="R56" s="5" t="s">
        <v>154</v>
      </c>
    </row>
    <row r="57" spans="1:18" x14ac:dyDescent="0.2">
      <c r="A57" s="5" t="s">
        <v>149</v>
      </c>
      <c r="B57" s="5">
        <v>19.3</v>
      </c>
      <c r="C57" s="5" t="s">
        <v>155</v>
      </c>
      <c r="D57" s="4" t="s">
        <v>22</v>
      </c>
      <c r="E57" s="4" t="s">
        <v>23</v>
      </c>
      <c r="F57" s="5" t="s">
        <v>29</v>
      </c>
      <c r="G57" s="5" t="s">
        <v>69</v>
      </c>
      <c r="H57" s="5">
        <v>5.09</v>
      </c>
      <c r="I57" s="5">
        <v>2</v>
      </c>
      <c r="J57" s="5">
        <v>2</v>
      </c>
      <c r="K57" s="5" t="s">
        <v>140</v>
      </c>
      <c r="L57" s="5">
        <v>1.3</v>
      </c>
      <c r="M57" s="12">
        <v>12.9</v>
      </c>
      <c r="N57" s="11" t="s">
        <v>141</v>
      </c>
      <c r="O57" s="5" t="s">
        <v>141</v>
      </c>
      <c r="P57" s="5">
        <v>9.3541628689999996</v>
      </c>
      <c r="Q57" s="12">
        <v>63.137718040000003</v>
      </c>
      <c r="R57" s="5" t="s">
        <v>156</v>
      </c>
    </row>
    <row r="58" spans="1:18" x14ac:dyDescent="0.2">
      <c r="A58" s="5" t="s">
        <v>149</v>
      </c>
      <c r="B58" s="5">
        <v>19.399999999999999</v>
      </c>
      <c r="C58" s="5" t="s">
        <v>157</v>
      </c>
      <c r="D58" s="4" t="s">
        <v>22</v>
      </c>
      <c r="E58" s="4" t="s">
        <v>23</v>
      </c>
      <c r="F58" s="5" t="s">
        <v>29</v>
      </c>
      <c r="G58" s="5" t="s">
        <v>69</v>
      </c>
      <c r="H58" s="5">
        <v>5</v>
      </c>
      <c r="I58" s="5">
        <v>1</v>
      </c>
      <c r="J58" s="5">
        <v>1</v>
      </c>
      <c r="K58" s="5" t="s">
        <v>140</v>
      </c>
      <c r="L58" s="5">
        <v>1.3</v>
      </c>
      <c r="M58" s="12">
        <v>12.9</v>
      </c>
      <c r="N58" s="11" t="s">
        <v>141</v>
      </c>
      <c r="O58" s="5" t="s">
        <v>141</v>
      </c>
      <c r="P58" s="5">
        <v>9.3493587809999994</v>
      </c>
      <c r="Q58" s="12">
        <v>63.138441899999997</v>
      </c>
      <c r="R58" s="5" t="s">
        <v>158</v>
      </c>
    </row>
    <row r="59" spans="1:18" x14ac:dyDescent="0.2">
      <c r="A59" s="5" t="s">
        <v>159</v>
      </c>
      <c r="B59" s="5">
        <v>19.5</v>
      </c>
      <c r="C59" s="5" t="s">
        <v>160</v>
      </c>
      <c r="D59" s="4" t="s">
        <v>22</v>
      </c>
      <c r="E59" s="4" t="s">
        <v>23</v>
      </c>
      <c r="F59" s="5" t="s">
        <v>29</v>
      </c>
      <c r="G59" s="5" t="s">
        <v>69</v>
      </c>
      <c r="H59" s="5">
        <v>5.05</v>
      </c>
      <c r="I59" s="5">
        <v>4</v>
      </c>
      <c r="J59" s="5">
        <v>50</v>
      </c>
      <c r="K59" s="5" t="s">
        <v>25</v>
      </c>
      <c r="L59" s="5">
        <v>1.3</v>
      </c>
      <c r="M59" s="12">
        <v>12.9</v>
      </c>
      <c r="N59" s="11" t="s">
        <v>141</v>
      </c>
      <c r="O59" s="5" t="s">
        <v>141</v>
      </c>
      <c r="P59" s="5">
        <v>9.3454368260000003</v>
      </c>
      <c r="Q59" s="12">
        <v>63.139007149999998</v>
      </c>
      <c r="R59" s="5" t="s">
        <v>161</v>
      </c>
    </row>
    <row r="60" spans="1:18" x14ac:dyDescent="0.2">
      <c r="A60" s="5" t="s">
        <v>162</v>
      </c>
      <c r="B60" s="5">
        <v>20.100000000000001</v>
      </c>
      <c r="C60" s="5" t="s">
        <v>163</v>
      </c>
      <c r="D60" s="4" t="s">
        <v>22</v>
      </c>
      <c r="E60" s="4" t="s">
        <v>23</v>
      </c>
      <c r="F60" s="5" t="s">
        <v>72</v>
      </c>
      <c r="G60" s="5" t="s">
        <v>73</v>
      </c>
      <c r="H60" s="5">
        <v>5.01</v>
      </c>
      <c r="I60" s="5">
        <v>0</v>
      </c>
      <c r="J60" s="5">
        <v>0</v>
      </c>
      <c r="K60" s="5" t="s">
        <v>140</v>
      </c>
      <c r="L60" s="5">
        <v>1.3</v>
      </c>
      <c r="M60" s="12">
        <v>12.9</v>
      </c>
      <c r="N60" s="11" t="s">
        <v>141</v>
      </c>
      <c r="O60" s="5" t="s">
        <v>164</v>
      </c>
      <c r="P60" s="5">
        <v>9.7896404459999999</v>
      </c>
      <c r="Q60" s="12">
        <v>63.259382430000002</v>
      </c>
      <c r="R60" s="5" t="s">
        <v>165</v>
      </c>
    </row>
    <row r="61" spans="1:18" x14ac:dyDescent="0.2">
      <c r="A61" s="5" t="s">
        <v>162</v>
      </c>
      <c r="B61" s="5">
        <v>20.2</v>
      </c>
      <c r="C61" s="5" t="s">
        <v>166</v>
      </c>
      <c r="D61" s="4" t="s">
        <v>22</v>
      </c>
      <c r="E61" s="4" t="s">
        <v>23</v>
      </c>
      <c r="F61" s="5" t="s">
        <v>39</v>
      </c>
      <c r="G61" s="5" t="s">
        <v>40</v>
      </c>
      <c r="H61" s="5">
        <v>5</v>
      </c>
      <c r="I61" s="5">
        <v>0</v>
      </c>
      <c r="J61" s="5">
        <v>0</v>
      </c>
      <c r="K61" s="5"/>
      <c r="L61" s="5">
        <v>1.3</v>
      </c>
      <c r="M61" s="12">
        <v>12.9</v>
      </c>
      <c r="N61" s="11" t="s">
        <v>141</v>
      </c>
      <c r="O61" s="5" t="s">
        <v>164</v>
      </c>
      <c r="P61" s="5">
        <v>9.7919960239999995</v>
      </c>
      <c r="Q61" s="12">
        <v>63.260924600000003</v>
      </c>
      <c r="R61" s="5" t="s">
        <v>167</v>
      </c>
    </row>
    <row r="62" spans="1:18" x14ac:dyDescent="0.2">
      <c r="A62" s="5" t="s">
        <v>162</v>
      </c>
      <c r="B62" s="5">
        <v>20.3</v>
      </c>
      <c r="C62" s="5" t="s">
        <v>168</v>
      </c>
      <c r="D62" s="4" t="s">
        <v>22</v>
      </c>
      <c r="E62" s="4" t="s">
        <v>23</v>
      </c>
      <c r="F62" s="5" t="s">
        <v>72</v>
      </c>
      <c r="G62" s="5" t="s">
        <v>73</v>
      </c>
      <c r="H62" s="5">
        <v>5.04</v>
      </c>
      <c r="I62" s="5">
        <v>0</v>
      </c>
      <c r="J62" s="5">
        <v>0</v>
      </c>
      <c r="K62" s="5" t="s">
        <v>140</v>
      </c>
      <c r="L62" s="5">
        <v>1.3</v>
      </c>
      <c r="M62" s="12">
        <v>12.9</v>
      </c>
      <c r="N62" s="11" t="s">
        <v>141</v>
      </c>
      <c r="O62" s="5" t="s">
        <v>164</v>
      </c>
      <c r="P62" s="5">
        <v>9.7955158319999995</v>
      </c>
      <c r="Q62" s="12">
        <v>63.262603439999999</v>
      </c>
      <c r="R62" s="5" t="s">
        <v>169</v>
      </c>
    </row>
    <row r="63" spans="1:18" x14ac:dyDescent="0.2">
      <c r="A63" s="5" t="s">
        <v>162</v>
      </c>
      <c r="B63" s="5">
        <v>20.399999999999999</v>
      </c>
      <c r="C63" s="5" t="s">
        <v>170</v>
      </c>
      <c r="D63" s="4" t="s">
        <v>22</v>
      </c>
      <c r="E63" s="4" t="s">
        <v>23</v>
      </c>
      <c r="F63" s="5" t="s">
        <v>24</v>
      </c>
      <c r="G63" s="5" t="s">
        <v>24</v>
      </c>
      <c r="H63" s="5">
        <v>5.0199999999999996</v>
      </c>
      <c r="I63" s="5">
        <v>1</v>
      </c>
      <c r="J63" s="5">
        <v>1</v>
      </c>
      <c r="K63" s="5" t="s">
        <v>140</v>
      </c>
      <c r="L63" s="5">
        <v>1.3</v>
      </c>
      <c r="M63" s="12">
        <v>12.9</v>
      </c>
      <c r="N63" s="11" t="s">
        <v>141</v>
      </c>
      <c r="O63" s="5" t="s">
        <v>164</v>
      </c>
      <c r="P63" s="5">
        <v>9.7872148160000005</v>
      </c>
      <c r="Q63" s="12">
        <v>63.2600506</v>
      </c>
      <c r="R63" s="5" t="s">
        <v>171</v>
      </c>
    </row>
    <row r="64" spans="1:18" x14ac:dyDescent="0.2">
      <c r="A64" s="5" t="s">
        <v>162</v>
      </c>
      <c r="B64" s="5">
        <v>20.5</v>
      </c>
      <c r="C64" s="5" t="s">
        <v>172</v>
      </c>
      <c r="D64" s="4" t="s">
        <v>22</v>
      </c>
      <c r="E64" s="4" t="s">
        <v>23</v>
      </c>
      <c r="F64" s="5" t="s">
        <v>39</v>
      </c>
      <c r="G64" s="5" t="s">
        <v>40</v>
      </c>
      <c r="H64" s="5">
        <v>5.03</v>
      </c>
      <c r="I64">
        <v>0</v>
      </c>
      <c r="J64" s="5">
        <v>0</v>
      </c>
      <c r="K64" s="5" t="s">
        <v>140</v>
      </c>
      <c r="L64" s="5">
        <v>1.3</v>
      </c>
      <c r="M64" s="12">
        <v>12.9</v>
      </c>
      <c r="N64" s="11" t="s">
        <v>141</v>
      </c>
      <c r="O64" s="5" t="s">
        <v>164</v>
      </c>
      <c r="P64" s="5">
        <v>9.7900641610000001</v>
      </c>
      <c r="Q64" s="12">
        <v>63.260893299999999</v>
      </c>
      <c r="R64" s="5" t="s">
        <v>173</v>
      </c>
    </row>
    <row r="65" spans="1:18" x14ac:dyDescent="0.2">
      <c r="A65" s="5" t="s">
        <v>174</v>
      </c>
      <c r="B65" s="5">
        <v>21.1</v>
      </c>
      <c r="C65" s="5" t="s">
        <v>175</v>
      </c>
      <c r="D65" s="4" t="s">
        <v>22</v>
      </c>
      <c r="E65" s="4" t="s">
        <v>23</v>
      </c>
      <c r="F65" s="5" t="s">
        <v>39</v>
      </c>
      <c r="G65" s="5" t="s">
        <v>39</v>
      </c>
      <c r="H65" s="5">
        <v>5.0599999999999996</v>
      </c>
      <c r="I65" s="5">
        <v>2</v>
      </c>
      <c r="J65" s="5">
        <v>2</v>
      </c>
      <c r="K65" s="5" t="s">
        <v>176</v>
      </c>
      <c r="L65" s="5">
        <v>1.3</v>
      </c>
      <c r="M65" s="12">
        <v>12.9</v>
      </c>
      <c r="N65" s="11" t="s">
        <v>141</v>
      </c>
      <c r="O65" s="5" t="s">
        <v>177</v>
      </c>
      <c r="P65" s="5">
        <v>10.04384104</v>
      </c>
      <c r="Q65" s="12">
        <v>63.243407009999999</v>
      </c>
      <c r="R65" s="5" t="s">
        <v>178</v>
      </c>
    </row>
    <row r="66" spans="1:18" x14ac:dyDescent="0.2">
      <c r="A66" s="5" t="s">
        <v>174</v>
      </c>
      <c r="B66" s="5">
        <v>21.2</v>
      </c>
      <c r="C66" s="5" t="s">
        <v>179</v>
      </c>
      <c r="D66" s="4" t="s">
        <v>22</v>
      </c>
      <c r="E66" s="4" t="s">
        <v>23</v>
      </c>
      <c r="F66" s="5" t="s">
        <v>24</v>
      </c>
      <c r="G66" s="5" t="s">
        <v>24</v>
      </c>
      <c r="H66" s="5">
        <v>5.0599999999999996</v>
      </c>
      <c r="I66" s="5">
        <v>1</v>
      </c>
      <c r="J66" s="5">
        <v>1</v>
      </c>
      <c r="K66" s="5" t="s">
        <v>176</v>
      </c>
      <c r="L66" s="5">
        <v>1.3</v>
      </c>
      <c r="M66" s="12">
        <v>12.9</v>
      </c>
      <c r="N66" s="11" t="s">
        <v>141</v>
      </c>
      <c r="O66" s="5" t="s">
        <v>177</v>
      </c>
      <c r="P66" s="5">
        <v>10.04221014</v>
      </c>
      <c r="Q66" s="12">
        <v>63.241833200000002</v>
      </c>
      <c r="R66" s="5" t="s">
        <v>180</v>
      </c>
    </row>
    <row r="67" spans="1:18" x14ac:dyDescent="0.2">
      <c r="A67" s="5" t="s">
        <v>174</v>
      </c>
      <c r="B67" s="5">
        <v>21.3</v>
      </c>
      <c r="C67" s="5" t="s">
        <v>181</v>
      </c>
      <c r="D67" s="4" t="s">
        <v>22</v>
      </c>
      <c r="E67" s="4" t="s">
        <v>23</v>
      </c>
      <c r="F67" s="5" t="s">
        <v>24</v>
      </c>
      <c r="G67" s="5" t="s">
        <v>24</v>
      </c>
      <c r="H67" s="5">
        <v>5.07</v>
      </c>
      <c r="I67" s="5">
        <v>1</v>
      </c>
      <c r="J67" s="5">
        <v>1</v>
      </c>
      <c r="K67" s="5" t="s">
        <v>176</v>
      </c>
      <c r="L67" s="5">
        <v>1.3</v>
      </c>
      <c r="M67" s="12">
        <v>12.9</v>
      </c>
      <c r="N67" s="11" t="s">
        <v>141</v>
      </c>
      <c r="O67" s="5" t="s">
        <v>177</v>
      </c>
      <c r="P67" s="5">
        <v>10.043739009999999</v>
      </c>
      <c r="Q67" s="12">
        <v>63.244311289999999</v>
      </c>
      <c r="R67" s="5" t="s">
        <v>182</v>
      </c>
    </row>
    <row r="68" spans="1:18" x14ac:dyDescent="0.2">
      <c r="A68" s="5" t="s">
        <v>174</v>
      </c>
      <c r="B68" s="5">
        <v>21.4</v>
      </c>
      <c r="C68" s="5" t="s">
        <v>183</v>
      </c>
      <c r="D68" s="4" t="s">
        <v>22</v>
      </c>
      <c r="E68" s="4" t="s">
        <v>23</v>
      </c>
      <c r="F68" s="5" t="s">
        <v>24</v>
      </c>
      <c r="G68" s="5" t="s">
        <v>24</v>
      </c>
      <c r="H68" s="5">
        <v>5.04</v>
      </c>
      <c r="I68" s="5">
        <v>3</v>
      </c>
      <c r="J68" s="5">
        <v>3</v>
      </c>
      <c r="K68" s="5" t="s">
        <v>140</v>
      </c>
      <c r="L68" s="5">
        <v>1.3</v>
      </c>
      <c r="M68" s="12">
        <v>12.9</v>
      </c>
      <c r="N68" s="11" t="s">
        <v>141</v>
      </c>
      <c r="O68" s="5" t="s">
        <v>177</v>
      </c>
      <c r="P68" s="5">
        <v>10.04446727</v>
      </c>
      <c r="Q68" s="12">
        <v>63.244592779999998</v>
      </c>
      <c r="R68" s="5" t="s">
        <v>184</v>
      </c>
    </row>
    <row r="69" spans="1:18" x14ac:dyDescent="0.2">
      <c r="A69" s="5" t="s">
        <v>185</v>
      </c>
      <c r="B69" s="5">
        <v>22.1</v>
      </c>
      <c r="C69" s="5" t="s">
        <v>186</v>
      </c>
      <c r="D69" s="4" t="s">
        <v>22</v>
      </c>
      <c r="E69" s="4" t="s">
        <v>23</v>
      </c>
      <c r="F69" s="5" t="s">
        <v>24</v>
      </c>
      <c r="G69" s="5" t="s">
        <v>24</v>
      </c>
      <c r="H69" s="5">
        <v>5.01</v>
      </c>
      <c r="I69" s="5">
        <v>1</v>
      </c>
      <c r="J69" s="5">
        <v>1</v>
      </c>
      <c r="K69" s="5" t="s">
        <v>140</v>
      </c>
      <c r="L69" s="5">
        <v>4.4000000000000004</v>
      </c>
      <c r="M69" s="12">
        <v>14</v>
      </c>
      <c r="N69" s="11" t="s">
        <v>136</v>
      </c>
      <c r="O69" s="5" t="s">
        <v>136</v>
      </c>
      <c r="P69" s="5">
        <v>10.31848173</v>
      </c>
      <c r="Q69" s="12">
        <v>63.203445199999997</v>
      </c>
      <c r="R69" s="5" t="s">
        <v>187</v>
      </c>
    </row>
    <row r="70" spans="1:18" x14ac:dyDescent="0.2">
      <c r="A70" s="5" t="s">
        <v>185</v>
      </c>
      <c r="B70" s="5">
        <v>22.2</v>
      </c>
      <c r="C70" s="5" t="s">
        <v>188</v>
      </c>
      <c r="D70" s="4" t="s">
        <v>22</v>
      </c>
      <c r="E70" s="4" t="s">
        <v>23</v>
      </c>
      <c r="F70" s="5" t="s">
        <v>24</v>
      </c>
      <c r="G70" s="5" t="s">
        <v>24</v>
      </c>
      <c r="H70" s="5">
        <v>5</v>
      </c>
      <c r="I70" s="5">
        <v>4</v>
      </c>
      <c r="J70" s="5">
        <v>4</v>
      </c>
      <c r="K70" s="5" t="s">
        <v>140</v>
      </c>
      <c r="L70" s="5">
        <v>4.4000000000000004</v>
      </c>
      <c r="M70" s="12">
        <v>14</v>
      </c>
      <c r="N70" s="11" t="s">
        <v>136</v>
      </c>
      <c r="O70" s="5" t="s">
        <v>136</v>
      </c>
      <c r="P70" s="5">
        <v>10.32013967</v>
      </c>
      <c r="Q70" s="12">
        <v>63.203482749999999</v>
      </c>
      <c r="R70" s="5" t="s">
        <v>189</v>
      </c>
    </row>
    <row r="71" spans="1:18" x14ac:dyDescent="0.2">
      <c r="A71" s="5" t="s">
        <v>185</v>
      </c>
      <c r="B71" s="5">
        <v>22.3</v>
      </c>
      <c r="C71" s="5" t="s">
        <v>190</v>
      </c>
      <c r="D71" s="4" t="s">
        <v>22</v>
      </c>
      <c r="E71" s="4" t="s">
        <v>23</v>
      </c>
      <c r="F71" s="5" t="s">
        <v>24</v>
      </c>
      <c r="G71" s="5" t="s">
        <v>24</v>
      </c>
      <c r="H71" s="5">
        <v>5.0199999999999996</v>
      </c>
      <c r="I71" s="5">
        <v>1</v>
      </c>
      <c r="J71" s="5">
        <v>1</v>
      </c>
      <c r="K71" s="5" t="s">
        <v>140</v>
      </c>
      <c r="L71" s="5">
        <v>4.4000000000000004</v>
      </c>
      <c r="M71" s="12">
        <v>14</v>
      </c>
      <c r="N71" s="11" t="s">
        <v>136</v>
      </c>
      <c r="O71" s="5" t="s">
        <v>136</v>
      </c>
      <c r="P71" s="5">
        <v>10.31715823</v>
      </c>
      <c r="Q71" s="12">
        <v>63.203680980000001</v>
      </c>
      <c r="R71" s="5" t="s">
        <v>191</v>
      </c>
    </row>
    <row r="72" spans="1:18" x14ac:dyDescent="0.2">
      <c r="A72" s="5" t="s">
        <v>192</v>
      </c>
      <c r="B72" s="5">
        <v>23.1</v>
      </c>
      <c r="C72" s="5" t="s">
        <v>193</v>
      </c>
      <c r="D72" s="4" t="s">
        <v>22</v>
      </c>
      <c r="E72" s="4" t="s">
        <v>23</v>
      </c>
      <c r="F72" s="5" t="s">
        <v>29</v>
      </c>
      <c r="G72" s="5" t="s">
        <v>69</v>
      </c>
      <c r="H72" s="5">
        <v>5.07</v>
      </c>
      <c r="I72" s="5">
        <v>1</v>
      </c>
      <c r="J72" s="5">
        <v>1</v>
      </c>
      <c r="K72" s="5" t="s">
        <v>176</v>
      </c>
      <c r="L72" s="5">
        <v>4.4000000000000004</v>
      </c>
      <c r="M72" s="12">
        <v>14</v>
      </c>
      <c r="N72" s="11" t="s">
        <v>136</v>
      </c>
      <c r="O72" s="5" t="s">
        <v>136</v>
      </c>
      <c r="P72" s="5">
        <v>10.246611590000001</v>
      </c>
      <c r="Q72" s="12">
        <v>63.225502880000001</v>
      </c>
      <c r="R72" s="5" t="s">
        <v>194</v>
      </c>
    </row>
    <row r="73" spans="1:18" x14ac:dyDescent="0.2">
      <c r="A73" s="5" t="s">
        <v>192</v>
      </c>
      <c r="B73" s="5">
        <v>23.2</v>
      </c>
      <c r="C73" s="5" t="s">
        <v>195</v>
      </c>
      <c r="D73" s="4" t="s">
        <v>22</v>
      </c>
      <c r="E73" s="4" t="s">
        <v>23</v>
      </c>
      <c r="F73" s="5" t="s">
        <v>24</v>
      </c>
      <c r="G73" s="5" t="s">
        <v>24</v>
      </c>
      <c r="H73" s="5">
        <v>5.03</v>
      </c>
      <c r="I73" s="5">
        <v>4</v>
      </c>
      <c r="J73" s="5">
        <v>4</v>
      </c>
      <c r="K73" s="5" t="s">
        <v>176</v>
      </c>
      <c r="L73" s="5">
        <v>4.4000000000000004</v>
      </c>
      <c r="M73" s="12">
        <v>14</v>
      </c>
      <c r="N73" s="11" t="s">
        <v>136</v>
      </c>
      <c r="O73" s="5" t="s">
        <v>136</v>
      </c>
      <c r="P73" s="5">
        <v>10.24919435</v>
      </c>
      <c r="Q73" s="12">
        <v>63.224938850000001</v>
      </c>
      <c r="R73" s="5" t="s">
        <v>196</v>
      </c>
    </row>
    <row r="74" spans="1:18" x14ac:dyDescent="0.2">
      <c r="A74" s="5" t="s">
        <v>192</v>
      </c>
      <c r="B74" s="5">
        <v>23.3</v>
      </c>
      <c r="C74" s="5" t="s">
        <v>197</v>
      </c>
      <c r="D74" s="4" t="s">
        <v>22</v>
      </c>
      <c r="E74" s="4" t="s">
        <v>23</v>
      </c>
      <c r="F74" s="5" t="s">
        <v>39</v>
      </c>
      <c r="G74" s="5" t="s">
        <v>85</v>
      </c>
      <c r="H74" s="5">
        <v>5.0199999999999996</v>
      </c>
      <c r="I74" s="5">
        <v>3</v>
      </c>
      <c r="J74" s="5">
        <v>4</v>
      </c>
      <c r="K74" s="5" t="s">
        <v>176</v>
      </c>
      <c r="L74" s="5">
        <v>4.4000000000000004</v>
      </c>
      <c r="M74" s="12">
        <v>14</v>
      </c>
      <c r="N74" s="11" t="s">
        <v>136</v>
      </c>
      <c r="O74" s="5" t="s">
        <v>136</v>
      </c>
      <c r="P74" s="5">
        <v>10.27520644</v>
      </c>
      <c r="Q74" s="12">
        <v>63.226338920000003</v>
      </c>
      <c r="R74" s="5" t="s">
        <v>198</v>
      </c>
    </row>
    <row r="75" spans="1:18" x14ac:dyDescent="0.2">
      <c r="A75" s="5" t="s">
        <v>199</v>
      </c>
      <c r="B75" s="5">
        <v>24.1</v>
      </c>
      <c r="C75" s="5" t="s">
        <v>200</v>
      </c>
      <c r="D75" s="4" t="s">
        <v>22</v>
      </c>
      <c r="E75" s="4" t="s">
        <v>23</v>
      </c>
      <c r="F75" s="5" t="s">
        <v>39</v>
      </c>
      <c r="G75" s="5" t="s">
        <v>40</v>
      </c>
      <c r="H75" s="5">
        <v>5.03</v>
      </c>
      <c r="I75" s="5">
        <v>1</v>
      </c>
      <c r="J75" s="5">
        <v>1</v>
      </c>
      <c r="K75" s="5" t="s">
        <v>140</v>
      </c>
      <c r="L75" s="5">
        <v>4.4000000000000004</v>
      </c>
      <c r="M75" s="12">
        <v>14</v>
      </c>
      <c r="N75" s="11" t="s">
        <v>136</v>
      </c>
      <c r="O75" s="5" t="s">
        <v>136</v>
      </c>
      <c r="P75" s="5">
        <v>10.297406779999999</v>
      </c>
      <c r="Q75" s="12">
        <v>63.275470179999999</v>
      </c>
      <c r="R75" s="5" t="s">
        <v>201</v>
      </c>
    </row>
    <row r="76" spans="1:18" x14ac:dyDescent="0.2">
      <c r="A76" s="5" t="s">
        <v>199</v>
      </c>
      <c r="B76" s="5">
        <v>24.2</v>
      </c>
      <c r="C76" s="5" t="s">
        <v>202</v>
      </c>
      <c r="D76" s="4" t="s">
        <v>22</v>
      </c>
      <c r="E76" s="4" t="s">
        <v>23</v>
      </c>
      <c r="F76" s="5" t="s">
        <v>39</v>
      </c>
      <c r="G76" s="5" t="s">
        <v>203</v>
      </c>
      <c r="H76" s="5">
        <v>5.09</v>
      </c>
      <c r="I76" s="5">
        <v>2</v>
      </c>
      <c r="J76" s="5">
        <v>2</v>
      </c>
      <c r="K76" s="5" t="s">
        <v>140</v>
      </c>
      <c r="L76" s="5">
        <v>4.4000000000000004</v>
      </c>
      <c r="M76" s="12">
        <v>14</v>
      </c>
      <c r="N76" s="11" t="s">
        <v>136</v>
      </c>
      <c r="O76" s="5" t="s">
        <v>136</v>
      </c>
      <c r="P76" s="5">
        <v>10.295430939999999</v>
      </c>
      <c r="Q76" s="12">
        <v>63.276263290000003</v>
      </c>
      <c r="R76" s="5" t="s">
        <v>204</v>
      </c>
    </row>
    <row r="77" spans="1:18" x14ac:dyDescent="0.2">
      <c r="A77" s="5" t="s">
        <v>199</v>
      </c>
      <c r="B77" s="5">
        <v>24.3</v>
      </c>
      <c r="C77" s="5" t="s">
        <v>205</v>
      </c>
      <c r="D77" s="4" t="s">
        <v>22</v>
      </c>
      <c r="E77" s="4" t="s">
        <v>23</v>
      </c>
      <c r="F77" s="5" t="s">
        <v>39</v>
      </c>
      <c r="G77" s="5" t="s">
        <v>40</v>
      </c>
      <c r="H77" s="5">
        <v>5.04</v>
      </c>
      <c r="I77" s="5">
        <v>3</v>
      </c>
      <c r="J77" s="5">
        <v>3</v>
      </c>
      <c r="K77" s="5" t="s">
        <v>140</v>
      </c>
      <c r="L77" s="5">
        <v>4.4000000000000004</v>
      </c>
      <c r="M77" s="12">
        <v>14</v>
      </c>
      <c r="N77" s="11" t="s">
        <v>136</v>
      </c>
      <c r="O77" s="5" t="s">
        <v>136</v>
      </c>
      <c r="P77" s="5">
        <v>10.29838756</v>
      </c>
      <c r="Q77" s="12">
        <v>63.276056089999997</v>
      </c>
      <c r="R77" s="5" t="s">
        <v>206</v>
      </c>
    </row>
    <row r="78" spans="1:18" x14ac:dyDescent="0.2">
      <c r="A78" s="5" t="s">
        <v>207</v>
      </c>
      <c r="B78" s="5">
        <v>25.1</v>
      </c>
      <c r="C78" s="5" t="s">
        <v>208</v>
      </c>
      <c r="D78" s="4" t="s">
        <v>22</v>
      </c>
      <c r="E78" s="4" t="s">
        <v>23</v>
      </c>
      <c r="F78" s="5" t="s">
        <v>24</v>
      </c>
      <c r="G78" s="5" t="s">
        <v>24</v>
      </c>
      <c r="H78" s="5">
        <v>5.08</v>
      </c>
      <c r="I78" s="5">
        <v>2</v>
      </c>
      <c r="J78" s="5">
        <v>2</v>
      </c>
      <c r="K78" s="5" t="s">
        <v>140</v>
      </c>
      <c r="L78" s="5">
        <v>4.4000000000000004</v>
      </c>
      <c r="M78" s="12">
        <v>14</v>
      </c>
      <c r="N78" s="11" t="s">
        <v>136</v>
      </c>
      <c r="O78" s="5" t="s">
        <v>136</v>
      </c>
      <c r="P78" s="5">
        <v>10.20087094</v>
      </c>
      <c r="Q78" s="12">
        <v>63.287644159999999</v>
      </c>
      <c r="R78" s="5" t="s">
        <v>209</v>
      </c>
    </row>
    <row r="79" spans="1:18" x14ac:dyDescent="0.2">
      <c r="A79" s="5" t="s">
        <v>207</v>
      </c>
      <c r="B79" s="5">
        <v>25.2</v>
      </c>
      <c r="C79" s="5" t="s">
        <v>210</v>
      </c>
      <c r="D79" s="4" t="s">
        <v>22</v>
      </c>
      <c r="E79" s="4" t="s">
        <v>23</v>
      </c>
      <c r="F79" s="5" t="s">
        <v>24</v>
      </c>
      <c r="G79" s="5" t="s">
        <v>24</v>
      </c>
      <c r="H79" s="5">
        <v>5.07</v>
      </c>
      <c r="I79" s="5">
        <v>1</v>
      </c>
      <c r="J79" s="5">
        <v>1</v>
      </c>
      <c r="K79" s="5" t="s">
        <v>140</v>
      </c>
      <c r="L79" s="5">
        <v>4.4000000000000004</v>
      </c>
      <c r="M79" s="12">
        <v>14</v>
      </c>
      <c r="N79" s="11" t="s">
        <v>136</v>
      </c>
      <c r="O79" s="5" t="s">
        <v>136</v>
      </c>
      <c r="P79" s="5">
        <v>10.20332198</v>
      </c>
      <c r="Q79" s="12">
        <v>63.287007080000002</v>
      </c>
      <c r="R79" s="5" t="s">
        <v>211</v>
      </c>
    </row>
    <row r="80" spans="1:18" x14ac:dyDescent="0.2">
      <c r="A80" s="34" t="s">
        <v>207</v>
      </c>
      <c r="B80" s="34">
        <v>25.3</v>
      </c>
      <c r="C80" s="5" t="s">
        <v>212</v>
      </c>
      <c r="D80" s="4" t="s">
        <v>22</v>
      </c>
      <c r="E80" s="4" t="s">
        <v>23</v>
      </c>
      <c r="F80" s="5" t="s">
        <v>24</v>
      </c>
      <c r="G80" s="5" t="s">
        <v>24</v>
      </c>
      <c r="H80" s="5">
        <v>5</v>
      </c>
      <c r="I80" s="5">
        <v>0</v>
      </c>
      <c r="J80" s="35" t="s">
        <v>213</v>
      </c>
      <c r="K80" s="5" t="s">
        <v>140</v>
      </c>
      <c r="L80" s="5">
        <v>4.4000000000000004</v>
      </c>
      <c r="M80" s="12">
        <v>14</v>
      </c>
      <c r="N80" s="11" t="s">
        <v>136</v>
      </c>
      <c r="O80" s="5" t="s">
        <v>136</v>
      </c>
      <c r="P80" s="5">
        <v>10.206373449999999</v>
      </c>
      <c r="Q80" s="12">
        <v>63.281842849999997</v>
      </c>
      <c r="R80" s="5" t="s">
        <v>214</v>
      </c>
    </row>
    <row r="81" spans="1:18" x14ac:dyDescent="0.2">
      <c r="A81" s="5" t="s">
        <v>215</v>
      </c>
      <c r="B81" s="5">
        <v>26.1</v>
      </c>
      <c r="C81" s="5" t="s">
        <v>216</v>
      </c>
      <c r="D81" s="4" t="s">
        <v>22</v>
      </c>
      <c r="E81" s="4" t="s">
        <v>23</v>
      </c>
      <c r="F81" s="5" t="s">
        <v>39</v>
      </c>
      <c r="G81" s="5" t="s">
        <v>40</v>
      </c>
      <c r="H81" s="5">
        <v>5.08</v>
      </c>
      <c r="I81" s="5">
        <v>1</v>
      </c>
      <c r="J81" s="5">
        <v>3</v>
      </c>
      <c r="K81" s="5" t="s">
        <v>176</v>
      </c>
      <c r="L81" s="5">
        <v>4.4000000000000004</v>
      </c>
      <c r="M81" s="12">
        <v>14</v>
      </c>
      <c r="N81" s="11" t="s">
        <v>136</v>
      </c>
      <c r="O81" s="5" t="s">
        <v>136</v>
      </c>
      <c r="P81" s="5">
        <v>10.310980239999999</v>
      </c>
      <c r="Q81" s="12">
        <v>63.300308540000003</v>
      </c>
      <c r="R81" s="5" t="s">
        <v>217</v>
      </c>
    </row>
    <row r="82" spans="1:18" x14ac:dyDescent="0.2">
      <c r="A82" s="5" t="s">
        <v>215</v>
      </c>
      <c r="B82" s="5">
        <v>26.2</v>
      </c>
      <c r="C82" s="5" t="s">
        <v>218</v>
      </c>
      <c r="D82" s="4" t="s">
        <v>22</v>
      </c>
      <c r="E82" s="4" t="s">
        <v>23</v>
      </c>
      <c r="F82" s="5" t="s">
        <v>24</v>
      </c>
      <c r="G82" s="5" t="s">
        <v>24</v>
      </c>
      <c r="H82" s="5">
        <v>5.01</v>
      </c>
      <c r="I82" s="5">
        <v>4</v>
      </c>
      <c r="J82" s="5">
        <v>4</v>
      </c>
      <c r="K82" s="5" t="s">
        <v>176</v>
      </c>
      <c r="L82" s="5">
        <v>4.4000000000000004</v>
      </c>
      <c r="M82" s="12">
        <v>14</v>
      </c>
      <c r="N82" s="11" t="s">
        <v>136</v>
      </c>
      <c r="O82" s="5" t="s">
        <v>136</v>
      </c>
      <c r="P82" s="5">
        <v>10.310449330000001</v>
      </c>
      <c r="Q82" s="12">
        <v>63.300394330000003</v>
      </c>
      <c r="R82" s="5" t="s">
        <v>219</v>
      </c>
    </row>
    <row r="83" spans="1:18" x14ac:dyDescent="0.2">
      <c r="A83" s="34" t="s">
        <v>215</v>
      </c>
      <c r="B83" s="34">
        <v>26.3</v>
      </c>
      <c r="C83" s="5" t="s">
        <v>220</v>
      </c>
      <c r="D83" s="4" t="s">
        <v>22</v>
      </c>
      <c r="E83" s="4" t="s">
        <v>23</v>
      </c>
      <c r="F83" s="5" t="s">
        <v>29</v>
      </c>
      <c r="G83" s="5" t="s">
        <v>109</v>
      </c>
      <c r="H83" s="5">
        <v>5.01</v>
      </c>
      <c r="I83" s="5">
        <v>1</v>
      </c>
      <c r="J83" s="5">
        <v>1</v>
      </c>
      <c r="K83" s="5" t="s">
        <v>176</v>
      </c>
      <c r="L83" s="5">
        <v>4.4000000000000004</v>
      </c>
      <c r="M83" s="12">
        <v>14</v>
      </c>
      <c r="N83" s="11" t="s">
        <v>136</v>
      </c>
      <c r="O83" s="5" t="s">
        <v>136</v>
      </c>
      <c r="P83" s="5">
        <v>10.30901562</v>
      </c>
      <c r="Q83" s="12">
        <v>63.299904130000002</v>
      </c>
      <c r="R83" s="5" t="s">
        <v>221</v>
      </c>
    </row>
    <row r="84" spans="1:18" x14ac:dyDescent="0.2">
      <c r="A84" s="5" t="s">
        <v>215</v>
      </c>
      <c r="B84" s="5">
        <v>26.4</v>
      </c>
      <c r="C84" s="5" t="s">
        <v>222</v>
      </c>
      <c r="D84" s="4" t="s">
        <v>22</v>
      </c>
      <c r="E84" s="4" t="s">
        <v>23</v>
      </c>
      <c r="F84" s="5" t="s">
        <v>39</v>
      </c>
      <c r="G84" s="5" t="s">
        <v>85</v>
      </c>
      <c r="H84" s="5">
        <v>5.0599999999999996</v>
      </c>
      <c r="I84" s="5">
        <v>2</v>
      </c>
      <c r="J84" s="5">
        <v>2</v>
      </c>
      <c r="K84" s="5" t="s">
        <v>176</v>
      </c>
      <c r="L84" s="5">
        <v>4.4000000000000004</v>
      </c>
      <c r="M84" s="12">
        <v>14</v>
      </c>
      <c r="N84" s="11" t="s">
        <v>136</v>
      </c>
      <c r="O84" s="5" t="s">
        <v>136</v>
      </c>
      <c r="P84" s="5">
        <v>10.30920285</v>
      </c>
      <c r="Q84" s="12">
        <v>63.299702279999998</v>
      </c>
      <c r="R84" s="5" t="s">
        <v>223</v>
      </c>
    </row>
    <row r="85" spans="1:18" x14ac:dyDescent="0.2">
      <c r="A85" s="5" t="s">
        <v>224</v>
      </c>
      <c r="B85" s="5">
        <v>27.1</v>
      </c>
      <c r="C85" s="5" t="s">
        <v>225</v>
      </c>
      <c r="D85" s="4" t="s">
        <v>22</v>
      </c>
      <c r="E85" s="4" t="s">
        <v>23</v>
      </c>
      <c r="F85" s="5" t="s">
        <v>39</v>
      </c>
      <c r="G85" s="5" t="s">
        <v>40</v>
      </c>
      <c r="H85" s="5">
        <v>5.08</v>
      </c>
      <c r="I85" s="5">
        <v>0</v>
      </c>
      <c r="J85" s="5">
        <v>0</v>
      </c>
      <c r="K85" s="5" t="s">
        <v>140</v>
      </c>
      <c r="L85" s="5">
        <v>4.4000000000000004</v>
      </c>
      <c r="M85" s="12">
        <v>14</v>
      </c>
      <c r="N85" s="11" t="s">
        <v>136</v>
      </c>
      <c r="O85" s="5" t="s">
        <v>136</v>
      </c>
      <c r="P85" s="5">
        <v>10.228172300000001</v>
      </c>
      <c r="Q85" s="12">
        <v>63.13078891</v>
      </c>
      <c r="R85" s="5" t="s">
        <v>226</v>
      </c>
    </row>
    <row r="86" spans="1:18" x14ac:dyDescent="0.2">
      <c r="A86" s="21" t="s">
        <v>227</v>
      </c>
      <c r="B86" s="21">
        <v>28.1</v>
      </c>
      <c r="C86" s="21" t="s">
        <v>228</v>
      </c>
      <c r="D86" s="4" t="s">
        <v>22</v>
      </c>
      <c r="E86" t="s">
        <v>23</v>
      </c>
      <c r="F86" s="21" t="s">
        <v>39</v>
      </c>
      <c r="G86" s="21" t="s">
        <v>203</v>
      </c>
      <c r="H86">
        <v>5.08</v>
      </c>
      <c r="I86" s="16">
        <v>3</v>
      </c>
      <c r="J86" s="16">
        <v>5</v>
      </c>
      <c r="K86" s="21" t="s">
        <v>140</v>
      </c>
      <c r="N86" s="21" t="s">
        <v>229</v>
      </c>
      <c r="O86" s="21" t="s">
        <v>229</v>
      </c>
      <c r="P86" s="21">
        <v>11.32633</v>
      </c>
      <c r="Q86" s="21">
        <v>63.752519999999997</v>
      </c>
      <c r="R86" s="21" t="s">
        <v>230</v>
      </c>
    </row>
    <row r="87" spans="1:18" x14ac:dyDescent="0.2">
      <c r="A87" s="21" t="s">
        <v>227</v>
      </c>
      <c r="B87" s="21">
        <v>28.2</v>
      </c>
      <c r="C87" s="21" t="s">
        <v>231</v>
      </c>
      <c r="D87" s="4" t="s">
        <v>22</v>
      </c>
      <c r="E87" t="s">
        <v>23</v>
      </c>
      <c r="F87" s="21" t="s">
        <v>72</v>
      </c>
      <c r="G87" s="21" t="s">
        <v>232</v>
      </c>
      <c r="H87">
        <v>5.05</v>
      </c>
      <c r="I87" s="16">
        <v>2</v>
      </c>
      <c r="J87" s="16">
        <v>2</v>
      </c>
      <c r="K87" s="21" t="s">
        <v>140</v>
      </c>
      <c r="N87" s="21" t="s">
        <v>229</v>
      </c>
      <c r="O87" s="21" t="s">
        <v>229</v>
      </c>
      <c r="P87" s="21">
        <v>11.326029999999999</v>
      </c>
      <c r="Q87" s="21">
        <v>63.752650000000003</v>
      </c>
      <c r="R87" s="21" t="s">
        <v>233</v>
      </c>
    </row>
    <row r="88" spans="1:18" x14ac:dyDescent="0.2">
      <c r="A88" s="33" t="s">
        <v>227</v>
      </c>
      <c r="B88" s="33">
        <v>28.3</v>
      </c>
      <c r="C88" s="21" t="s">
        <v>234</v>
      </c>
      <c r="D88" s="4" t="s">
        <v>22</v>
      </c>
      <c r="E88" t="s">
        <v>23</v>
      </c>
      <c r="F88" s="21" t="s">
        <v>39</v>
      </c>
      <c r="G88" s="21" t="s">
        <v>203</v>
      </c>
      <c r="H88">
        <v>5.0199999999999996</v>
      </c>
      <c r="I88" s="16">
        <v>2</v>
      </c>
      <c r="J88" s="16">
        <v>2</v>
      </c>
      <c r="K88" s="21" t="s">
        <v>140</v>
      </c>
      <c r="N88" s="21" t="s">
        <v>229</v>
      </c>
      <c r="O88" s="21" t="s">
        <v>229</v>
      </c>
      <c r="P88" s="21">
        <v>11.32565</v>
      </c>
      <c r="Q88" s="21">
        <v>63.752780000000001</v>
      </c>
      <c r="R88" s="21" t="s">
        <v>235</v>
      </c>
    </row>
    <row r="89" spans="1:18" x14ac:dyDescent="0.2">
      <c r="A89" s="33" t="s">
        <v>227</v>
      </c>
      <c r="B89" s="33">
        <v>28.4</v>
      </c>
      <c r="C89" s="21" t="s">
        <v>236</v>
      </c>
      <c r="D89" t="s">
        <v>22</v>
      </c>
      <c r="E89" t="s">
        <v>23</v>
      </c>
      <c r="F89" s="21" t="s">
        <v>72</v>
      </c>
      <c r="G89" s="21" t="s">
        <v>237</v>
      </c>
      <c r="H89">
        <v>5.0599999999999996</v>
      </c>
      <c r="I89" s="16">
        <v>0</v>
      </c>
      <c r="J89" s="16">
        <v>0</v>
      </c>
      <c r="K89" s="21" t="s">
        <v>140</v>
      </c>
      <c r="N89" s="21" t="s">
        <v>229</v>
      </c>
      <c r="O89" s="21" t="s">
        <v>229</v>
      </c>
      <c r="P89" s="21">
        <v>11.32511</v>
      </c>
      <c r="Q89" s="21">
        <v>63.752949999999998</v>
      </c>
      <c r="R89" s="21" t="s">
        <v>238</v>
      </c>
    </row>
    <row r="90" spans="1:18" x14ac:dyDescent="0.2">
      <c r="A90" s="21" t="s">
        <v>227</v>
      </c>
      <c r="B90" s="21">
        <v>28.5</v>
      </c>
      <c r="C90" s="21" t="s">
        <v>239</v>
      </c>
      <c r="D90" t="s">
        <v>22</v>
      </c>
      <c r="E90" t="s">
        <v>23</v>
      </c>
      <c r="F90" s="21" t="s">
        <v>72</v>
      </c>
      <c r="G90" s="21" t="s">
        <v>240</v>
      </c>
      <c r="H90">
        <v>5.0599999999999996</v>
      </c>
      <c r="I90" s="16">
        <v>0</v>
      </c>
      <c r="J90" s="16">
        <v>0</v>
      </c>
      <c r="K90" s="21" t="s">
        <v>176</v>
      </c>
      <c r="N90" s="21" t="s">
        <v>229</v>
      </c>
      <c r="O90" s="21" t="s">
        <v>229</v>
      </c>
      <c r="P90" s="21">
        <v>11.320399999999999</v>
      </c>
      <c r="Q90" s="21">
        <v>63.751280000000001</v>
      </c>
      <c r="R90" s="21" t="s">
        <v>241</v>
      </c>
    </row>
    <row r="91" spans="1:18" x14ac:dyDescent="0.2">
      <c r="A91" s="21" t="s">
        <v>227</v>
      </c>
      <c r="B91" s="21">
        <v>28.6</v>
      </c>
      <c r="C91" s="21" t="s">
        <v>242</v>
      </c>
      <c r="D91" s="4" t="s">
        <v>22</v>
      </c>
      <c r="E91" s="4" t="s">
        <v>23</v>
      </c>
      <c r="F91" s="21" t="s">
        <v>39</v>
      </c>
      <c r="G91" s="21" t="s">
        <v>203</v>
      </c>
      <c r="H91">
        <v>5.01</v>
      </c>
      <c r="I91" s="16">
        <v>2</v>
      </c>
      <c r="J91" s="16">
        <v>2</v>
      </c>
      <c r="K91" s="21" t="s">
        <v>176</v>
      </c>
      <c r="N91" s="21" t="s">
        <v>229</v>
      </c>
      <c r="O91" s="21" t="s">
        <v>229</v>
      </c>
      <c r="P91" s="21">
        <v>11.333170000000001</v>
      </c>
      <c r="Q91" s="21">
        <v>63.751179999999998</v>
      </c>
      <c r="R91" s="21" t="s">
        <v>243</v>
      </c>
    </row>
    <row r="92" spans="1:18" x14ac:dyDescent="0.2">
      <c r="A92" s="21" t="s">
        <v>244</v>
      </c>
      <c r="B92" s="21">
        <v>29.1</v>
      </c>
      <c r="C92" s="21" t="s">
        <v>245</v>
      </c>
      <c r="D92" t="s">
        <v>22</v>
      </c>
      <c r="E92" t="s">
        <v>23</v>
      </c>
      <c r="F92" s="21" t="s">
        <v>72</v>
      </c>
      <c r="G92" s="21" t="s">
        <v>73</v>
      </c>
      <c r="H92">
        <v>5.04</v>
      </c>
      <c r="I92" s="16">
        <v>1</v>
      </c>
      <c r="J92" s="16">
        <v>1</v>
      </c>
      <c r="K92" s="21" t="s">
        <v>176</v>
      </c>
      <c r="N92" s="21" t="s">
        <v>229</v>
      </c>
      <c r="O92" s="21" t="s">
        <v>229</v>
      </c>
      <c r="P92" s="21">
        <v>11.224399999999999</v>
      </c>
      <c r="Q92" s="21">
        <v>63.753869999999999</v>
      </c>
      <c r="R92" s="21" t="s">
        <v>246</v>
      </c>
    </row>
    <row r="93" spans="1:18" x14ac:dyDescent="0.2">
      <c r="A93" s="21" t="s">
        <v>244</v>
      </c>
      <c r="B93" s="21">
        <v>29.2</v>
      </c>
      <c r="C93" s="21" t="s">
        <v>247</v>
      </c>
      <c r="D93" t="s">
        <v>22</v>
      </c>
      <c r="E93" t="s">
        <v>23</v>
      </c>
      <c r="F93" s="21" t="s">
        <v>39</v>
      </c>
      <c r="G93" s="21" t="s">
        <v>40</v>
      </c>
      <c r="H93">
        <v>5.05</v>
      </c>
      <c r="I93" s="16">
        <v>0</v>
      </c>
      <c r="J93" s="16">
        <v>0</v>
      </c>
      <c r="K93" s="21" t="s">
        <v>176</v>
      </c>
      <c r="N93" s="21" t="s">
        <v>229</v>
      </c>
      <c r="O93" s="21" t="s">
        <v>229</v>
      </c>
      <c r="P93" s="21">
        <v>11.224640000000001</v>
      </c>
      <c r="Q93" s="21">
        <v>63.753779999999999</v>
      </c>
      <c r="R93" s="21" t="s">
        <v>248</v>
      </c>
    </row>
    <row r="94" spans="1:18" x14ac:dyDescent="0.2">
      <c r="A94" s="21" t="s">
        <v>244</v>
      </c>
      <c r="B94" s="21">
        <v>29.3</v>
      </c>
      <c r="C94" s="21" t="s">
        <v>249</v>
      </c>
      <c r="D94" s="4" t="s">
        <v>22</v>
      </c>
      <c r="E94" s="4" t="s">
        <v>23</v>
      </c>
      <c r="F94" s="21" t="s">
        <v>72</v>
      </c>
      <c r="G94" s="21" t="s">
        <v>240</v>
      </c>
      <c r="H94">
        <v>5.0199999999999996</v>
      </c>
      <c r="I94" s="16">
        <v>0</v>
      </c>
      <c r="J94" s="16">
        <v>0</v>
      </c>
      <c r="K94" s="21" t="s">
        <v>176</v>
      </c>
      <c r="N94" s="21" t="s">
        <v>229</v>
      </c>
      <c r="O94" s="21" t="s">
        <v>229</v>
      </c>
      <c r="P94" s="21">
        <v>11.224729999999999</v>
      </c>
      <c r="Q94" s="21">
        <v>63.753309999999999</v>
      </c>
      <c r="R94" s="21" t="s">
        <v>250</v>
      </c>
    </row>
    <row r="95" spans="1:18" x14ac:dyDescent="0.2">
      <c r="A95" s="33" t="s">
        <v>244</v>
      </c>
      <c r="B95" s="33">
        <v>29.4</v>
      </c>
      <c r="C95" s="21" t="s">
        <v>251</v>
      </c>
      <c r="D95" t="s">
        <v>22</v>
      </c>
      <c r="E95" t="s">
        <v>23</v>
      </c>
      <c r="F95" s="21" t="s">
        <v>72</v>
      </c>
      <c r="G95" s="21" t="s">
        <v>73</v>
      </c>
      <c r="H95">
        <v>5.0199999999999996</v>
      </c>
      <c r="I95" s="16">
        <v>1</v>
      </c>
      <c r="J95" s="16">
        <v>1</v>
      </c>
      <c r="K95" s="21" t="s">
        <v>176</v>
      </c>
      <c r="N95" s="21" t="s">
        <v>229</v>
      </c>
      <c r="O95" s="21" t="s">
        <v>229</v>
      </c>
      <c r="P95" s="21">
        <v>11.22677</v>
      </c>
      <c r="Q95" s="21">
        <v>63.753039999999999</v>
      </c>
      <c r="R95" s="21" t="s">
        <v>252</v>
      </c>
    </row>
    <row r="96" spans="1:18" x14ac:dyDescent="0.2">
      <c r="A96" s="21" t="s">
        <v>253</v>
      </c>
      <c r="B96" s="21">
        <v>30.1</v>
      </c>
      <c r="C96" s="21" t="s">
        <v>254</v>
      </c>
      <c r="D96" t="s">
        <v>22</v>
      </c>
      <c r="E96" t="s">
        <v>23</v>
      </c>
      <c r="F96" s="21" t="s">
        <v>39</v>
      </c>
      <c r="G96" s="21" t="s">
        <v>40</v>
      </c>
      <c r="H96">
        <v>5.0199999999999996</v>
      </c>
      <c r="I96" s="16">
        <v>0</v>
      </c>
      <c r="J96" s="16">
        <v>0</v>
      </c>
      <c r="K96" s="21" t="s">
        <v>176</v>
      </c>
      <c r="N96" s="21" t="s">
        <v>229</v>
      </c>
      <c r="O96" s="21" t="s">
        <v>229</v>
      </c>
      <c r="P96" s="21">
        <v>11.218669999999999</v>
      </c>
      <c r="Q96" s="21">
        <v>63.693980000000003</v>
      </c>
      <c r="R96" s="21" t="s">
        <v>255</v>
      </c>
    </row>
    <row r="97" spans="1:18" x14ac:dyDescent="0.2">
      <c r="A97" s="21" t="s">
        <v>253</v>
      </c>
      <c r="B97" s="21">
        <v>30.2</v>
      </c>
      <c r="C97" s="21" t="s">
        <v>256</v>
      </c>
      <c r="D97" s="4" t="s">
        <v>22</v>
      </c>
      <c r="E97" s="4" t="s">
        <v>23</v>
      </c>
      <c r="F97" s="21" t="s">
        <v>24</v>
      </c>
      <c r="G97" s="5" t="s">
        <v>24</v>
      </c>
      <c r="H97">
        <v>5</v>
      </c>
      <c r="I97" s="16">
        <v>1</v>
      </c>
      <c r="J97" s="16" t="s">
        <v>213</v>
      </c>
      <c r="K97" s="21" t="s">
        <v>176</v>
      </c>
      <c r="N97" s="21" t="s">
        <v>229</v>
      </c>
      <c r="O97" s="21" t="s">
        <v>229</v>
      </c>
      <c r="P97" s="21">
        <v>11.221299999999999</v>
      </c>
      <c r="Q97" s="21">
        <v>63.694029999999998</v>
      </c>
      <c r="R97" s="21" t="s">
        <v>257</v>
      </c>
    </row>
    <row r="98" spans="1:18" x14ac:dyDescent="0.2">
      <c r="A98" s="33" t="s">
        <v>258</v>
      </c>
      <c r="B98" s="33">
        <v>31.1</v>
      </c>
      <c r="C98" s="21" t="s">
        <v>259</v>
      </c>
      <c r="D98" s="4" t="s">
        <v>22</v>
      </c>
      <c r="E98" s="4" t="s">
        <v>23</v>
      </c>
      <c r="F98" s="21" t="s">
        <v>78</v>
      </c>
      <c r="G98" s="21" t="s">
        <v>260</v>
      </c>
      <c r="H98">
        <v>4.99</v>
      </c>
      <c r="I98" s="16">
        <v>2</v>
      </c>
      <c r="J98" s="16" t="s">
        <v>261</v>
      </c>
      <c r="K98" s="21" t="s">
        <v>140</v>
      </c>
      <c r="N98" s="21" t="s">
        <v>262</v>
      </c>
      <c r="O98" s="21" t="s">
        <v>262</v>
      </c>
      <c r="P98" s="21">
        <v>10.764150000000001</v>
      </c>
      <c r="Q98" s="21">
        <v>63.572270000000003</v>
      </c>
      <c r="R98" s="21"/>
    </row>
    <row r="99" spans="1:18" x14ac:dyDescent="0.2">
      <c r="A99" s="21" t="s">
        <v>258</v>
      </c>
      <c r="B99" s="21">
        <v>31.2</v>
      </c>
      <c r="C99" s="21" t="s">
        <v>263</v>
      </c>
      <c r="D99" s="4" t="s">
        <v>22</v>
      </c>
      <c r="E99" s="4" t="s">
        <v>23</v>
      </c>
      <c r="F99" s="21" t="s">
        <v>72</v>
      </c>
      <c r="G99" s="21" t="s">
        <v>73</v>
      </c>
      <c r="H99">
        <v>5.03</v>
      </c>
      <c r="I99" s="16">
        <v>2</v>
      </c>
      <c r="J99" s="16">
        <v>2</v>
      </c>
      <c r="K99" s="21" t="s">
        <v>140</v>
      </c>
      <c r="N99" s="21" t="s">
        <v>262</v>
      </c>
      <c r="O99" s="21" t="s">
        <v>262</v>
      </c>
      <c r="P99" s="21">
        <v>10.766249999999999</v>
      </c>
      <c r="Q99" s="21">
        <v>63.574210000000001</v>
      </c>
      <c r="R99" s="21" t="s">
        <v>264</v>
      </c>
    </row>
    <row r="100" spans="1:18" x14ac:dyDescent="0.2">
      <c r="A100" s="33" t="s">
        <v>258</v>
      </c>
      <c r="B100" s="33">
        <v>31.3</v>
      </c>
      <c r="C100" s="21" t="s">
        <v>265</v>
      </c>
      <c r="D100" s="4" t="s">
        <v>22</v>
      </c>
      <c r="E100" s="4" t="s">
        <v>23</v>
      </c>
      <c r="F100" s="21" t="s">
        <v>72</v>
      </c>
      <c r="G100" s="21" t="s">
        <v>73</v>
      </c>
      <c r="H100">
        <v>5</v>
      </c>
      <c r="I100" s="16">
        <v>2</v>
      </c>
      <c r="J100" s="16" t="s">
        <v>261</v>
      </c>
      <c r="K100" s="21" t="s">
        <v>140</v>
      </c>
      <c r="N100" s="21" t="s">
        <v>262</v>
      </c>
      <c r="O100" s="21" t="s">
        <v>262</v>
      </c>
      <c r="P100" s="21">
        <v>10.7613</v>
      </c>
      <c r="Q100" s="21">
        <v>63.574620000000003</v>
      </c>
      <c r="R100" s="21" t="s">
        <v>266</v>
      </c>
    </row>
    <row r="101" spans="1:18" x14ac:dyDescent="0.2">
      <c r="A101" s="33" t="s">
        <v>258</v>
      </c>
      <c r="B101" s="33">
        <v>31.4</v>
      </c>
      <c r="C101" s="21" t="s">
        <v>267</v>
      </c>
      <c r="D101" s="4" t="s">
        <v>22</v>
      </c>
      <c r="E101" s="4" t="s">
        <v>23</v>
      </c>
      <c r="F101" s="21" t="s">
        <v>72</v>
      </c>
      <c r="G101" s="21" t="s">
        <v>268</v>
      </c>
      <c r="H101">
        <v>5.05</v>
      </c>
      <c r="I101" s="16">
        <v>2</v>
      </c>
      <c r="J101" s="16" t="s">
        <v>269</v>
      </c>
      <c r="K101" s="21" t="s">
        <v>140</v>
      </c>
      <c r="N101" s="21" t="s">
        <v>262</v>
      </c>
      <c r="O101" s="21" t="s">
        <v>262</v>
      </c>
      <c r="P101" s="21">
        <v>10.75765</v>
      </c>
      <c r="Q101" s="21">
        <v>63.574010000000001</v>
      </c>
      <c r="R101" s="21" t="s">
        <v>270</v>
      </c>
    </row>
    <row r="102" spans="1:18" x14ac:dyDescent="0.2">
      <c r="A102" s="21" t="s">
        <v>271</v>
      </c>
      <c r="B102" s="21">
        <v>32.1</v>
      </c>
      <c r="C102" s="21" t="s">
        <v>272</v>
      </c>
      <c r="D102" s="4" t="s">
        <v>22</v>
      </c>
      <c r="E102" s="4" t="s">
        <v>23</v>
      </c>
      <c r="F102" s="21" t="s">
        <v>72</v>
      </c>
      <c r="G102" s="21" t="s">
        <v>273</v>
      </c>
      <c r="H102">
        <v>5.04</v>
      </c>
      <c r="I102" s="16">
        <v>0</v>
      </c>
      <c r="J102" s="16">
        <v>0</v>
      </c>
      <c r="K102" s="21" t="s">
        <v>140</v>
      </c>
      <c r="N102" s="21" t="s">
        <v>262</v>
      </c>
      <c r="O102" s="21" t="s">
        <v>262</v>
      </c>
      <c r="P102" s="21">
        <v>10.80161</v>
      </c>
      <c r="Q102" s="21">
        <v>63.608429999999998</v>
      </c>
      <c r="R102" s="21" t="s">
        <v>274</v>
      </c>
    </row>
    <row r="103" spans="1:18" x14ac:dyDescent="0.2">
      <c r="A103" s="33" t="s">
        <v>271</v>
      </c>
      <c r="B103" s="33">
        <v>32.200000000000003</v>
      </c>
      <c r="C103" s="21" t="s">
        <v>275</v>
      </c>
      <c r="D103" s="4" t="s">
        <v>22</v>
      </c>
      <c r="E103" s="4" t="s">
        <v>23</v>
      </c>
      <c r="F103" s="21" t="s">
        <v>24</v>
      </c>
      <c r="G103" s="5" t="s">
        <v>24</v>
      </c>
      <c r="H103">
        <v>5.01</v>
      </c>
      <c r="I103" s="16">
        <v>3</v>
      </c>
      <c r="J103" s="16" t="s">
        <v>276</v>
      </c>
      <c r="K103" s="21" t="s">
        <v>140</v>
      </c>
      <c r="N103" s="21" t="s">
        <v>262</v>
      </c>
      <c r="O103" s="21" t="s">
        <v>262</v>
      </c>
      <c r="P103" s="21">
        <v>10.798719999999999</v>
      </c>
      <c r="Q103" s="21">
        <v>63.607930000000003</v>
      </c>
      <c r="R103" s="21" t="s">
        <v>277</v>
      </c>
    </row>
    <row r="104" spans="1:18" x14ac:dyDescent="0.2">
      <c r="A104" s="21" t="s">
        <v>278</v>
      </c>
      <c r="B104" s="21">
        <v>33.1</v>
      </c>
      <c r="C104" s="21" t="s">
        <v>279</v>
      </c>
      <c r="D104" s="4" t="s">
        <v>22</v>
      </c>
      <c r="E104" s="4" t="s">
        <v>23</v>
      </c>
      <c r="F104" s="21" t="s">
        <v>29</v>
      </c>
      <c r="G104" s="21" t="s">
        <v>280</v>
      </c>
      <c r="H104">
        <v>5.0199999999999996</v>
      </c>
      <c r="I104" s="16">
        <v>1</v>
      </c>
      <c r="J104" s="16">
        <v>0</v>
      </c>
      <c r="K104" s="21" t="s">
        <v>140</v>
      </c>
      <c r="N104" s="21" t="s">
        <v>262</v>
      </c>
      <c r="O104" s="21" t="s">
        <v>262</v>
      </c>
      <c r="P104" s="21">
        <v>10.81189</v>
      </c>
      <c r="Q104" s="21">
        <v>63.63185</v>
      </c>
      <c r="R104" s="21" t="s">
        <v>281</v>
      </c>
    </row>
    <row r="105" spans="1:18" x14ac:dyDescent="0.2">
      <c r="A105" s="21" t="s">
        <v>278</v>
      </c>
      <c r="B105" s="21">
        <v>33.200000000000003</v>
      </c>
      <c r="C105" s="21" t="s">
        <v>282</v>
      </c>
      <c r="D105" s="4" t="s">
        <v>22</v>
      </c>
      <c r="E105" t="s">
        <v>23</v>
      </c>
      <c r="F105" s="21" t="s">
        <v>78</v>
      </c>
      <c r="G105" s="21" t="s">
        <v>283</v>
      </c>
      <c r="H105">
        <v>5.07</v>
      </c>
      <c r="I105" s="16">
        <v>1</v>
      </c>
      <c r="J105" s="16">
        <v>3</v>
      </c>
      <c r="K105" s="21" t="s">
        <v>140</v>
      </c>
      <c r="N105" s="21" t="s">
        <v>262</v>
      </c>
      <c r="O105" s="21" t="s">
        <v>262</v>
      </c>
      <c r="P105" s="21">
        <v>10.812519999999999</v>
      </c>
      <c r="Q105" s="21">
        <v>63.632219999999997</v>
      </c>
      <c r="R105" s="21" t="s">
        <v>284</v>
      </c>
    </row>
    <row r="106" spans="1:18" x14ac:dyDescent="0.2">
      <c r="A106" s="21" t="s">
        <v>278</v>
      </c>
      <c r="B106" s="21">
        <v>33.299999999999997</v>
      </c>
      <c r="C106" s="21" t="s">
        <v>285</v>
      </c>
      <c r="D106" s="4" t="s">
        <v>22</v>
      </c>
      <c r="E106" s="4" t="s">
        <v>23</v>
      </c>
      <c r="F106" s="21" t="s">
        <v>78</v>
      </c>
      <c r="G106" s="21" t="s">
        <v>79</v>
      </c>
      <c r="H106">
        <v>5.05</v>
      </c>
      <c r="I106" s="16">
        <v>3</v>
      </c>
      <c r="J106" s="16">
        <v>3</v>
      </c>
      <c r="K106" s="21" t="s">
        <v>140</v>
      </c>
      <c r="N106" s="21" t="s">
        <v>262</v>
      </c>
      <c r="O106" s="21" t="s">
        <v>262</v>
      </c>
      <c r="P106" s="21">
        <v>10.810969999999999</v>
      </c>
      <c r="Q106" s="21">
        <v>63.63232</v>
      </c>
      <c r="R106" s="21" t="s">
        <v>286</v>
      </c>
    </row>
    <row r="107" spans="1:18" x14ac:dyDescent="0.2">
      <c r="A107" s="21" t="s">
        <v>287</v>
      </c>
      <c r="B107" s="21">
        <v>34.1</v>
      </c>
      <c r="C107" s="21" t="s">
        <v>288</v>
      </c>
      <c r="D107" s="4" t="s">
        <v>22</v>
      </c>
      <c r="E107" s="4" t="s">
        <v>23</v>
      </c>
      <c r="F107" s="21" t="s">
        <v>39</v>
      </c>
      <c r="G107" s="21" t="s">
        <v>85</v>
      </c>
      <c r="H107">
        <v>5.0999999999999996</v>
      </c>
      <c r="I107" s="16">
        <v>0</v>
      </c>
      <c r="J107" s="16">
        <v>0</v>
      </c>
      <c r="K107" s="21" t="s">
        <v>140</v>
      </c>
      <c r="N107" s="21" t="s">
        <v>289</v>
      </c>
      <c r="O107" s="21" t="s">
        <v>289</v>
      </c>
      <c r="P107" s="21">
        <v>10.798730000000001</v>
      </c>
      <c r="Q107" s="21">
        <v>63.509990000000002</v>
      </c>
      <c r="R107" s="21" t="s">
        <v>290</v>
      </c>
    </row>
    <row r="108" spans="1:18" x14ac:dyDescent="0.2">
      <c r="A108" s="33" t="s">
        <v>287</v>
      </c>
      <c r="B108" s="33">
        <v>34.200000000000003</v>
      </c>
      <c r="C108" s="21" t="s">
        <v>291</v>
      </c>
      <c r="D108" s="4" t="s">
        <v>22</v>
      </c>
      <c r="E108" s="4" t="s">
        <v>23</v>
      </c>
      <c r="F108" s="21" t="s">
        <v>39</v>
      </c>
      <c r="G108" s="21" t="s">
        <v>40</v>
      </c>
      <c r="H108">
        <v>5</v>
      </c>
      <c r="I108" s="16">
        <v>1</v>
      </c>
      <c r="J108" s="16" t="s">
        <v>292</v>
      </c>
      <c r="K108" s="21" t="s">
        <v>140</v>
      </c>
      <c r="N108" s="21" t="s">
        <v>289</v>
      </c>
      <c r="O108" s="21" t="s">
        <v>289</v>
      </c>
      <c r="P108" s="21">
        <v>10.798389999999999</v>
      </c>
      <c r="Q108" s="21">
        <v>63.50911</v>
      </c>
      <c r="R108" s="21" t="s">
        <v>293</v>
      </c>
    </row>
    <row r="109" spans="1:18" x14ac:dyDescent="0.2">
      <c r="A109" s="21" t="s">
        <v>287</v>
      </c>
      <c r="B109" s="21">
        <v>34.299999999999997</v>
      </c>
      <c r="C109" s="21" t="s">
        <v>294</v>
      </c>
      <c r="D109" s="4" t="s">
        <v>22</v>
      </c>
      <c r="E109" s="4" t="s">
        <v>23</v>
      </c>
      <c r="F109" s="21" t="s">
        <v>39</v>
      </c>
      <c r="G109" s="21" t="s">
        <v>85</v>
      </c>
      <c r="H109">
        <v>5.03</v>
      </c>
      <c r="I109" s="16">
        <v>3</v>
      </c>
      <c r="J109" s="16">
        <v>4</v>
      </c>
      <c r="K109" s="21" t="s">
        <v>140</v>
      </c>
      <c r="N109" s="21" t="s">
        <v>289</v>
      </c>
      <c r="O109" s="21" t="s">
        <v>289</v>
      </c>
      <c r="P109" s="21">
        <v>10.797929999999999</v>
      </c>
      <c r="Q109" s="21">
        <v>63.5092</v>
      </c>
      <c r="R109" s="21" t="s">
        <v>295</v>
      </c>
    </row>
    <row r="110" spans="1:18" x14ac:dyDescent="0.2">
      <c r="A110" s="21" t="s">
        <v>296</v>
      </c>
      <c r="B110" s="21">
        <v>35.1</v>
      </c>
      <c r="C110" s="21" t="s">
        <v>297</v>
      </c>
      <c r="D110" s="4" t="s">
        <v>22</v>
      </c>
      <c r="E110" s="4" t="s">
        <v>23</v>
      </c>
      <c r="F110" s="21" t="s">
        <v>29</v>
      </c>
      <c r="G110" s="21" t="s">
        <v>37</v>
      </c>
      <c r="H110">
        <v>5.03</v>
      </c>
      <c r="I110" s="16">
        <v>0</v>
      </c>
      <c r="J110" s="16">
        <v>0</v>
      </c>
      <c r="K110" s="21" t="s">
        <v>140</v>
      </c>
      <c r="N110" s="21" t="s">
        <v>289</v>
      </c>
      <c r="O110" s="21" t="s">
        <v>289</v>
      </c>
      <c r="P110" s="21">
        <v>10.973599999999999</v>
      </c>
      <c r="Q110" s="21">
        <v>63.492089999999997</v>
      </c>
      <c r="R110" s="21" t="s">
        <v>298</v>
      </c>
    </row>
    <row r="111" spans="1:18" x14ac:dyDescent="0.2">
      <c r="A111" s="21" t="s">
        <v>296</v>
      </c>
      <c r="B111" s="21">
        <v>35.200000000000003</v>
      </c>
      <c r="C111" s="21" t="s">
        <v>299</v>
      </c>
      <c r="D111" s="4" t="s">
        <v>22</v>
      </c>
      <c r="E111" s="4" t="s">
        <v>23</v>
      </c>
      <c r="F111" s="21" t="s">
        <v>29</v>
      </c>
      <c r="G111" s="21" t="s">
        <v>37</v>
      </c>
      <c r="H111">
        <v>5.0199999999999996</v>
      </c>
      <c r="I111" s="16">
        <v>1</v>
      </c>
      <c r="J111" s="16">
        <v>1</v>
      </c>
      <c r="K111" s="21" t="s">
        <v>140</v>
      </c>
      <c r="N111" s="21" t="s">
        <v>289</v>
      </c>
      <c r="O111" s="21" t="s">
        <v>289</v>
      </c>
      <c r="P111" s="21">
        <v>10.97306</v>
      </c>
      <c r="Q111" s="21">
        <v>63.491909999999997</v>
      </c>
      <c r="R111" s="21" t="s">
        <v>300</v>
      </c>
    </row>
    <row r="112" spans="1:18" x14ac:dyDescent="0.2">
      <c r="A112" s="21" t="s">
        <v>301</v>
      </c>
      <c r="B112" s="21">
        <v>36.1</v>
      </c>
      <c r="C112" s="21" t="s">
        <v>302</v>
      </c>
      <c r="D112" t="s">
        <v>22</v>
      </c>
      <c r="E112" t="s">
        <v>23</v>
      </c>
      <c r="F112" s="21" t="s">
        <v>39</v>
      </c>
      <c r="G112" s="21" t="s">
        <v>85</v>
      </c>
      <c r="H112">
        <v>5.08</v>
      </c>
      <c r="I112" s="16">
        <v>1</v>
      </c>
      <c r="J112" s="16">
        <v>1</v>
      </c>
      <c r="K112" s="21" t="s">
        <v>176</v>
      </c>
      <c r="N112" s="21" t="s">
        <v>303</v>
      </c>
      <c r="O112" s="21" t="s">
        <v>289</v>
      </c>
      <c r="P112" s="21">
        <v>10.983980000000001</v>
      </c>
      <c r="Q112" s="21">
        <v>63.394129999999997</v>
      </c>
      <c r="R112" s="21" t="s">
        <v>304</v>
      </c>
    </row>
    <row r="113" spans="1:18" x14ac:dyDescent="0.2">
      <c r="A113" s="21" t="s">
        <v>301</v>
      </c>
      <c r="B113" s="21">
        <v>36.200000000000003</v>
      </c>
      <c r="C113" s="21" t="s">
        <v>305</v>
      </c>
      <c r="D113" t="s">
        <v>22</v>
      </c>
      <c r="E113" t="s">
        <v>23</v>
      </c>
      <c r="F113" s="21" t="s">
        <v>39</v>
      </c>
      <c r="G113" s="21" t="s">
        <v>40</v>
      </c>
      <c r="H113">
        <v>5</v>
      </c>
      <c r="I113" s="16">
        <v>1</v>
      </c>
      <c r="J113" s="16">
        <v>1</v>
      </c>
      <c r="K113" s="21" t="s">
        <v>25</v>
      </c>
      <c r="N113" s="21" t="s">
        <v>303</v>
      </c>
      <c r="O113" s="21" t="s">
        <v>289</v>
      </c>
      <c r="P113" s="21">
        <v>10.981859999999999</v>
      </c>
      <c r="Q113" s="21">
        <v>63.393650000000001</v>
      </c>
      <c r="R113" s="21" t="s">
        <v>306</v>
      </c>
    </row>
    <row r="114" spans="1:18" x14ac:dyDescent="0.2">
      <c r="A114" s="21" t="s">
        <v>301</v>
      </c>
      <c r="B114" s="21">
        <v>36.299999999999997</v>
      </c>
      <c r="C114" s="21" t="s">
        <v>307</v>
      </c>
      <c r="D114" t="s">
        <v>22</v>
      </c>
      <c r="E114" t="s">
        <v>23</v>
      </c>
      <c r="F114" s="21" t="s">
        <v>29</v>
      </c>
      <c r="G114" s="21" t="s">
        <v>37</v>
      </c>
      <c r="H114">
        <v>5.0599999999999996</v>
      </c>
      <c r="I114" s="16">
        <v>3</v>
      </c>
      <c r="J114" s="16">
        <v>3</v>
      </c>
      <c r="K114" s="21" t="s">
        <v>25</v>
      </c>
      <c r="N114" s="21" t="s">
        <v>303</v>
      </c>
      <c r="O114" s="21" t="s">
        <v>289</v>
      </c>
      <c r="P114" s="21">
        <v>10.98081</v>
      </c>
      <c r="Q114" s="21">
        <v>63.394849999999998</v>
      </c>
      <c r="R114" s="21" t="s">
        <v>308</v>
      </c>
    </row>
    <row r="115" spans="1:18" x14ac:dyDescent="0.2">
      <c r="A115" s="21" t="s">
        <v>301</v>
      </c>
      <c r="B115" s="21">
        <v>36.4</v>
      </c>
      <c r="C115" s="21" t="s">
        <v>309</v>
      </c>
      <c r="D115" t="s">
        <v>22</v>
      </c>
      <c r="E115" t="s">
        <v>23</v>
      </c>
      <c r="F115" s="21" t="s">
        <v>24</v>
      </c>
      <c r="G115" s="21" t="s">
        <v>24</v>
      </c>
      <c r="H115">
        <v>5.01</v>
      </c>
      <c r="I115" s="16">
        <v>0</v>
      </c>
      <c r="J115" s="16">
        <v>0</v>
      </c>
      <c r="K115" s="21" t="s">
        <v>25</v>
      </c>
      <c r="N115" s="21" t="s">
        <v>303</v>
      </c>
      <c r="O115" s="21" t="s">
        <v>289</v>
      </c>
      <c r="P115" s="21">
        <v>10.962249999999999</v>
      </c>
      <c r="Q115" s="21">
        <v>63.391910000000003</v>
      </c>
      <c r="R115" s="21" t="s">
        <v>310</v>
      </c>
    </row>
    <row r="116" spans="1:18" x14ac:dyDescent="0.2">
      <c r="A116" s="21" t="s">
        <v>301</v>
      </c>
      <c r="B116" s="21">
        <v>36.5</v>
      </c>
      <c r="C116" s="21" t="s">
        <v>311</v>
      </c>
      <c r="D116" t="s">
        <v>22</v>
      </c>
      <c r="E116" t="s">
        <v>23</v>
      </c>
      <c r="F116" s="21" t="s">
        <v>24</v>
      </c>
      <c r="G116" s="21" t="s">
        <v>24</v>
      </c>
      <c r="H116">
        <v>5.01</v>
      </c>
      <c r="I116" s="16">
        <v>0</v>
      </c>
      <c r="J116" s="16">
        <v>0</v>
      </c>
      <c r="K116" s="21" t="s">
        <v>25</v>
      </c>
      <c r="N116" s="21" t="s">
        <v>303</v>
      </c>
      <c r="O116" s="21" t="s">
        <v>289</v>
      </c>
      <c r="P116" s="21">
        <v>10.95912</v>
      </c>
      <c r="Q116" s="21">
        <v>63.392719999999997</v>
      </c>
      <c r="R116" s="21" t="s">
        <v>312</v>
      </c>
    </row>
    <row r="117" spans="1:18" x14ac:dyDescent="0.2">
      <c r="A117" s="21" t="s">
        <v>313</v>
      </c>
      <c r="B117" s="21">
        <v>37.1</v>
      </c>
      <c r="C117" s="21" t="s">
        <v>314</v>
      </c>
      <c r="D117" t="s">
        <v>22</v>
      </c>
      <c r="E117" t="s">
        <v>23</v>
      </c>
      <c r="F117" s="21" t="s">
        <v>24</v>
      </c>
      <c r="G117" s="21" t="s">
        <v>24</v>
      </c>
      <c r="H117">
        <v>5</v>
      </c>
      <c r="I117" s="16">
        <v>1</v>
      </c>
      <c r="J117" s="16">
        <v>1</v>
      </c>
      <c r="K117" s="21" t="s">
        <v>140</v>
      </c>
      <c r="N117" s="21" t="s">
        <v>303</v>
      </c>
      <c r="O117" s="21" t="s">
        <v>289</v>
      </c>
      <c r="P117" s="21">
        <v>11.069319999999999</v>
      </c>
      <c r="Q117" s="21">
        <v>63.371740000000003</v>
      </c>
      <c r="R117" s="21" t="s">
        <v>315</v>
      </c>
    </row>
    <row r="118" spans="1:18" x14ac:dyDescent="0.2">
      <c r="A118" s="21" t="s">
        <v>313</v>
      </c>
      <c r="B118" s="21">
        <v>37.200000000000003</v>
      </c>
      <c r="C118" s="21" t="s">
        <v>316</v>
      </c>
      <c r="D118" t="s">
        <v>22</v>
      </c>
      <c r="E118" t="s">
        <v>23</v>
      </c>
      <c r="F118" s="21" t="s">
        <v>24</v>
      </c>
      <c r="G118" s="21" t="s">
        <v>24</v>
      </c>
      <c r="H118">
        <v>5</v>
      </c>
      <c r="I118" s="16">
        <v>0</v>
      </c>
      <c r="J118" s="16">
        <v>0</v>
      </c>
      <c r="K118" s="21" t="s">
        <v>140</v>
      </c>
      <c r="N118" s="21" t="s">
        <v>303</v>
      </c>
      <c r="O118" s="21" t="s">
        <v>289</v>
      </c>
      <c r="P118" s="21">
        <v>11.070550000000001</v>
      </c>
      <c r="Q118" s="21">
        <v>63.371940000000002</v>
      </c>
      <c r="R118" s="21" t="s">
        <v>317</v>
      </c>
    </row>
    <row r="119" spans="1:18" x14ac:dyDescent="0.2">
      <c r="A119" s="21" t="s">
        <v>313</v>
      </c>
      <c r="B119" s="21">
        <v>37.299999999999997</v>
      </c>
      <c r="C119" s="21" t="s">
        <v>318</v>
      </c>
      <c r="D119" t="s">
        <v>22</v>
      </c>
      <c r="E119" t="s">
        <v>23</v>
      </c>
      <c r="F119" s="21" t="s">
        <v>24</v>
      </c>
      <c r="G119" s="21" t="s">
        <v>24</v>
      </c>
      <c r="H119">
        <v>5</v>
      </c>
      <c r="I119" s="16">
        <v>0</v>
      </c>
      <c r="J119" s="16">
        <v>0</v>
      </c>
      <c r="K119" s="21" t="s">
        <v>140</v>
      </c>
      <c r="N119" s="21" t="s">
        <v>303</v>
      </c>
      <c r="O119" s="21" t="s">
        <v>289</v>
      </c>
      <c r="P119" s="21">
        <v>11.069190000000001</v>
      </c>
      <c r="Q119" s="21">
        <v>63.37303</v>
      </c>
      <c r="R119" s="21" t="s">
        <v>319</v>
      </c>
    </row>
    <row r="120" spans="1:18" x14ac:dyDescent="0.2">
      <c r="A120" s="21" t="s">
        <v>320</v>
      </c>
      <c r="B120" s="21">
        <v>38.1</v>
      </c>
      <c r="C120" s="21" t="s">
        <v>321</v>
      </c>
      <c r="D120" t="s">
        <v>22</v>
      </c>
      <c r="E120" t="s">
        <v>23</v>
      </c>
      <c r="F120" s="21"/>
      <c r="G120" s="21"/>
      <c r="H120">
        <v>5.03</v>
      </c>
      <c r="I120" s="16">
        <v>0</v>
      </c>
      <c r="J120" s="16">
        <v>0</v>
      </c>
      <c r="K120" s="21" t="s">
        <v>25</v>
      </c>
      <c r="N120" s="21" t="s">
        <v>303</v>
      </c>
      <c r="O120" s="21" t="s">
        <v>303</v>
      </c>
      <c r="P120" s="21">
        <v>11.18918</v>
      </c>
      <c r="Q120" s="21">
        <v>63.186079999999997</v>
      </c>
      <c r="R120" s="21" t="s">
        <v>322</v>
      </c>
    </row>
    <row r="121" spans="1:18" x14ac:dyDescent="0.2">
      <c r="A121" s="21" t="s">
        <v>323</v>
      </c>
      <c r="B121" s="21">
        <v>39.1</v>
      </c>
      <c r="C121" s="21" t="s">
        <v>324</v>
      </c>
      <c r="D121" t="s">
        <v>22</v>
      </c>
      <c r="E121" t="s">
        <v>23</v>
      </c>
      <c r="F121" s="21" t="s">
        <v>29</v>
      </c>
      <c r="G121" s="21" t="s">
        <v>325</v>
      </c>
      <c r="H121">
        <v>5</v>
      </c>
      <c r="I121" s="16">
        <v>2</v>
      </c>
      <c r="J121" s="16">
        <v>2</v>
      </c>
      <c r="K121" s="21" t="s">
        <v>176</v>
      </c>
      <c r="N121" s="21" t="s">
        <v>303</v>
      </c>
      <c r="O121" s="21" t="s">
        <v>303</v>
      </c>
      <c r="P121" s="21">
        <v>11.12393</v>
      </c>
      <c r="Q121" s="21">
        <v>63.206589999999998</v>
      </c>
      <c r="R121" s="21" t="s">
        <v>326</v>
      </c>
    </row>
    <row r="122" spans="1:18" x14ac:dyDescent="0.2">
      <c r="A122" s="21" t="s">
        <v>323</v>
      </c>
      <c r="B122" s="21">
        <v>39.200000000000003</v>
      </c>
      <c r="C122" s="21" t="s">
        <v>327</v>
      </c>
      <c r="D122" t="s">
        <v>22</v>
      </c>
      <c r="E122" t="s">
        <v>23</v>
      </c>
      <c r="F122" s="21" t="s">
        <v>29</v>
      </c>
      <c r="G122" s="21" t="s">
        <v>325</v>
      </c>
      <c r="H122">
        <v>5.0599999999999996</v>
      </c>
      <c r="I122" s="16">
        <v>0</v>
      </c>
      <c r="J122" s="16">
        <v>0</v>
      </c>
      <c r="K122" s="21" t="s">
        <v>25</v>
      </c>
      <c r="N122" s="21" t="s">
        <v>303</v>
      </c>
      <c r="O122" s="21" t="s">
        <v>303</v>
      </c>
      <c r="P122" s="21">
        <v>11.122999999999999</v>
      </c>
      <c r="Q122" s="21">
        <v>63.206270000000004</v>
      </c>
      <c r="R122" s="21" t="s">
        <v>328</v>
      </c>
    </row>
    <row r="123" spans="1:18" x14ac:dyDescent="0.2">
      <c r="A123" s="21" t="s">
        <v>323</v>
      </c>
      <c r="B123" s="21">
        <v>39.299999999999997</v>
      </c>
      <c r="C123" s="21" t="s">
        <v>329</v>
      </c>
      <c r="D123" t="s">
        <v>22</v>
      </c>
      <c r="E123" t="s">
        <v>23</v>
      </c>
      <c r="F123" s="21" t="s">
        <v>29</v>
      </c>
      <c r="G123" s="21" t="s">
        <v>325</v>
      </c>
      <c r="H123">
        <v>5.03</v>
      </c>
      <c r="I123" s="16">
        <v>1</v>
      </c>
      <c r="J123" s="16">
        <v>1</v>
      </c>
      <c r="K123" s="21"/>
      <c r="N123" s="21" t="s">
        <v>303</v>
      </c>
      <c r="O123" s="21" t="s">
        <v>303</v>
      </c>
      <c r="P123" s="21">
        <v>11.12384</v>
      </c>
      <c r="Q123" s="21">
        <v>63.206879999999998</v>
      </c>
      <c r="R123" s="21" t="s">
        <v>330</v>
      </c>
    </row>
    <row r="124" spans="1:18" x14ac:dyDescent="0.2">
      <c r="A124" s="21" t="s">
        <v>331</v>
      </c>
      <c r="B124" s="21">
        <v>40.1</v>
      </c>
      <c r="C124" s="21" t="s">
        <v>332</v>
      </c>
      <c r="D124" t="s">
        <v>22</v>
      </c>
      <c r="E124" t="s">
        <v>23</v>
      </c>
      <c r="F124" s="21" t="s">
        <v>24</v>
      </c>
      <c r="G124" s="21" t="s">
        <v>24</v>
      </c>
      <c r="H124">
        <v>5.01</v>
      </c>
      <c r="I124" s="16">
        <v>0</v>
      </c>
      <c r="J124" s="16">
        <v>0</v>
      </c>
      <c r="K124" s="21" t="s">
        <v>25</v>
      </c>
      <c r="N124" s="21" t="s">
        <v>303</v>
      </c>
      <c r="O124" s="21" t="s">
        <v>303</v>
      </c>
      <c r="P124" s="21">
        <v>11.061489999999999</v>
      </c>
      <c r="Q124" s="21">
        <v>63.209150000000001</v>
      </c>
      <c r="R124" s="21" t="s">
        <v>333</v>
      </c>
    </row>
    <row r="125" spans="1:18" x14ac:dyDescent="0.2">
      <c r="A125" s="21" t="s">
        <v>331</v>
      </c>
      <c r="B125" s="21">
        <v>40.200000000000003</v>
      </c>
      <c r="C125" s="21" t="s">
        <v>334</v>
      </c>
      <c r="D125" t="s">
        <v>22</v>
      </c>
      <c r="E125" t="s">
        <v>23</v>
      </c>
      <c r="F125" s="21" t="s">
        <v>24</v>
      </c>
      <c r="G125" s="21" t="s">
        <v>24</v>
      </c>
      <c r="H125">
        <v>5.01</v>
      </c>
      <c r="I125" s="16">
        <v>0</v>
      </c>
      <c r="J125" s="16">
        <v>0</v>
      </c>
      <c r="K125" s="21" t="s">
        <v>25</v>
      </c>
      <c r="N125" s="21" t="s">
        <v>303</v>
      </c>
      <c r="O125" s="21" t="s">
        <v>303</v>
      </c>
      <c r="P125" s="21">
        <v>11.060589999999999</v>
      </c>
      <c r="Q125" s="21">
        <v>63.209099999999999</v>
      </c>
      <c r="R125" s="21" t="s">
        <v>335</v>
      </c>
    </row>
    <row r="126" spans="1:18" x14ac:dyDescent="0.2">
      <c r="A126" s="21" t="s">
        <v>331</v>
      </c>
      <c r="B126" s="21">
        <v>40.299999999999997</v>
      </c>
      <c r="C126" s="21" t="s">
        <v>336</v>
      </c>
      <c r="D126" t="s">
        <v>22</v>
      </c>
      <c r="E126" t="s">
        <v>23</v>
      </c>
      <c r="F126" s="21" t="s">
        <v>24</v>
      </c>
      <c r="G126" s="21" t="s">
        <v>24</v>
      </c>
      <c r="H126">
        <v>5.0599999999999996</v>
      </c>
      <c r="I126" s="16">
        <v>3</v>
      </c>
      <c r="J126" s="16">
        <v>3</v>
      </c>
      <c r="K126" s="21" t="s">
        <v>140</v>
      </c>
      <c r="N126" s="21" t="s">
        <v>303</v>
      </c>
      <c r="O126" s="21" t="s">
        <v>303</v>
      </c>
      <c r="P126" s="21">
        <v>11.05936</v>
      </c>
      <c r="Q126" s="21">
        <v>63.209020000000002</v>
      </c>
      <c r="R126" s="21" t="s">
        <v>337</v>
      </c>
    </row>
    <row r="127" spans="1:18" x14ac:dyDescent="0.2">
      <c r="A127" s="21" t="s">
        <v>331</v>
      </c>
      <c r="B127" s="21">
        <v>40.4</v>
      </c>
      <c r="C127" s="21" t="s">
        <v>338</v>
      </c>
      <c r="D127" t="s">
        <v>22</v>
      </c>
      <c r="E127" t="s">
        <v>23</v>
      </c>
      <c r="F127" s="21" t="s">
        <v>24</v>
      </c>
      <c r="G127" s="21" t="s">
        <v>24</v>
      </c>
      <c r="H127">
        <v>5.05</v>
      </c>
      <c r="I127" s="16">
        <v>0</v>
      </c>
      <c r="J127" s="16">
        <v>0</v>
      </c>
      <c r="K127" s="21" t="s">
        <v>25</v>
      </c>
      <c r="N127" s="21" t="s">
        <v>303</v>
      </c>
      <c r="O127" s="21" t="s">
        <v>303</v>
      </c>
      <c r="P127" s="21">
        <v>11.06344</v>
      </c>
      <c r="Q127" s="21">
        <v>63.211419999999997</v>
      </c>
      <c r="R127" s="21" t="s">
        <v>339</v>
      </c>
    </row>
    <row r="128" spans="1:18" x14ac:dyDescent="0.2">
      <c r="A128" s="21" t="s">
        <v>331</v>
      </c>
      <c r="B128" s="21">
        <v>40.5</v>
      </c>
      <c r="C128" s="21" t="s">
        <v>340</v>
      </c>
      <c r="D128" t="s">
        <v>22</v>
      </c>
      <c r="E128" t="s">
        <v>23</v>
      </c>
      <c r="F128" s="21" t="s">
        <v>39</v>
      </c>
      <c r="G128" s="21" t="s">
        <v>85</v>
      </c>
      <c r="H128">
        <v>5.03</v>
      </c>
      <c r="I128" s="16">
        <v>0</v>
      </c>
      <c r="J128" s="16">
        <v>0</v>
      </c>
      <c r="K128" s="21" t="s">
        <v>25</v>
      </c>
      <c r="N128" s="21" t="s">
        <v>303</v>
      </c>
      <c r="O128" s="21" t="s">
        <v>303</v>
      </c>
      <c r="P128" s="21">
        <v>11.06695</v>
      </c>
      <c r="Q128" s="21">
        <v>63.205039999999997</v>
      </c>
      <c r="R128" s="21" t="s">
        <v>341</v>
      </c>
    </row>
    <row r="129" spans="1:18" x14ac:dyDescent="0.2">
      <c r="A129" s="21" t="s">
        <v>331</v>
      </c>
      <c r="B129" s="21">
        <v>40.6</v>
      </c>
      <c r="C129" s="21" t="s">
        <v>342</v>
      </c>
      <c r="D129" t="s">
        <v>22</v>
      </c>
      <c r="E129" t="s">
        <v>23</v>
      </c>
      <c r="F129" s="21" t="s">
        <v>24</v>
      </c>
      <c r="G129" s="21" t="s">
        <v>24</v>
      </c>
      <c r="H129">
        <v>4.9800000000000004</v>
      </c>
      <c r="I129" s="16">
        <v>2</v>
      </c>
      <c r="J129" s="16">
        <v>2</v>
      </c>
      <c r="K129" s="21" t="s">
        <v>140</v>
      </c>
      <c r="N129" s="21" t="s">
        <v>303</v>
      </c>
      <c r="O129" s="21" t="s">
        <v>303</v>
      </c>
      <c r="P129" s="21">
        <v>11.069129999999999</v>
      </c>
      <c r="Q129" s="21">
        <v>63.205269999999999</v>
      </c>
      <c r="R129" s="21" t="s">
        <v>343</v>
      </c>
    </row>
    <row r="130" spans="1:18" x14ac:dyDescent="0.2">
      <c r="A130" s="21" t="s">
        <v>331</v>
      </c>
      <c r="B130" s="21">
        <v>40.700000000000003</v>
      </c>
      <c r="C130" s="21" t="s">
        <v>344</v>
      </c>
      <c r="D130" t="s">
        <v>22</v>
      </c>
      <c r="E130" t="s">
        <v>23</v>
      </c>
      <c r="F130" s="21" t="s">
        <v>39</v>
      </c>
      <c r="G130" s="21" t="s">
        <v>40</v>
      </c>
      <c r="H130">
        <v>5.07</v>
      </c>
      <c r="I130" s="16">
        <v>0</v>
      </c>
      <c r="J130" s="16">
        <v>0</v>
      </c>
      <c r="K130" s="21" t="s">
        <v>140</v>
      </c>
      <c r="N130" s="21" t="s">
        <v>303</v>
      </c>
      <c r="O130" s="21" t="s">
        <v>303</v>
      </c>
      <c r="P130" s="21">
        <v>11.05969</v>
      </c>
      <c r="Q130" s="21">
        <v>63.203389999999999</v>
      </c>
      <c r="R130" s="21" t="s">
        <v>345</v>
      </c>
    </row>
    <row r="131" spans="1:18" x14ac:dyDescent="0.2">
      <c r="I131" s="16"/>
      <c r="J131" s="16"/>
    </row>
    <row r="132" spans="1:18" x14ac:dyDescent="0.2">
      <c r="I132" s="16"/>
      <c r="J132" s="16"/>
    </row>
    <row r="133" spans="1:18" x14ac:dyDescent="0.2">
      <c r="I133" s="16"/>
      <c r="J133" s="16"/>
    </row>
    <row r="134" spans="1:18" x14ac:dyDescent="0.2">
      <c r="I134" s="16"/>
      <c r="J134" s="16"/>
    </row>
    <row r="135" spans="1:18" x14ac:dyDescent="0.2">
      <c r="I135" s="16"/>
      <c r="J135" s="16"/>
    </row>
    <row r="136" spans="1:18" x14ac:dyDescent="0.2">
      <c r="I136" s="16"/>
      <c r="J136" s="16"/>
    </row>
    <row r="137" spans="1:18" x14ac:dyDescent="0.2">
      <c r="I137" s="16"/>
      <c r="J137" s="16"/>
    </row>
    <row r="138" spans="1:18" x14ac:dyDescent="0.2">
      <c r="I138" s="16"/>
      <c r="J138" s="16"/>
    </row>
    <row r="139" spans="1:18" x14ac:dyDescent="0.2">
      <c r="I139" s="16"/>
      <c r="J139" s="16"/>
    </row>
    <row r="140" spans="1:18" x14ac:dyDescent="0.2">
      <c r="I140" s="16"/>
      <c r="J140" s="16"/>
    </row>
    <row r="141" spans="1:18" x14ac:dyDescent="0.2">
      <c r="I141" s="16"/>
      <c r="J141" s="16"/>
    </row>
    <row r="142" spans="1:18" x14ac:dyDescent="0.2">
      <c r="I142" s="16"/>
      <c r="J142" s="16"/>
    </row>
    <row r="143" spans="1:18" x14ac:dyDescent="0.2">
      <c r="A143" s="10"/>
      <c r="I143" s="16"/>
      <c r="J143" s="16"/>
    </row>
    <row r="144" spans="1:18" x14ac:dyDescent="0.2">
      <c r="I144" s="16"/>
      <c r="J144" s="16"/>
    </row>
    <row r="145" spans="9:10" x14ac:dyDescent="0.2">
      <c r="I145" s="16"/>
      <c r="J145" s="16"/>
    </row>
    <row r="146" spans="9:10" x14ac:dyDescent="0.2">
      <c r="I146" s="16"/>
      <c r="J146" s="16"/>
    </row>
    <row r="147" spans="9:10" x14ac:dyDescent="0.2">
      <c r="I147" s="16"/>
      <c r="J147" s="16"/>
    </row>
    <row r="148" spans="9:10" x14ac:dyDescent="0.2">
      <c r="I148" s="16"/>
      <c r="J148" s="16"/>
    </row>
    <row r="149" spans="9:10" x14ac:dyDescent="0.2">
      <c r="I149" s="16"/>
      <c r="J149" s="16"/>
    </row>
    <row r="150" spans="9:10" x14ac:dyDescent="0.2">
      <c r="I150" s="16"/>
      <c r="J150" s="16"/>
    </row>
    <row r="151" spans="9:10" x14ac:dyDescent="0.2">
      <c r="I151" s="16"/>
      <c r="J151" s="16"/>
    </row>
    <row r="152" spans="9:10" x14ac:dyDescent="0.2">
      <c r="I152" s="16"/>
      <c r="J152" s="16"/>
    </row>
    <row r="153" spans="9:10" x14ac:dyDescent="0.2">
      <c r="I153" s="16"/>
      <c r="J153" s="16"/>
    </row>
    <row r="154" spans="9:10" x14ac:dyDescent="0.2">
      <c r="I154" s="16"/>
      <c r="J154" s="16"/>
    </row>
  </sheetData>
  <autoFilter ref="A1:R111" xr:uid="{259130FD-2174-45E9-A0D8-242738BA5019}">
    <filterColumn colId="8" showButton="0"/>
    <filterColumn colId="9" showButton="0"/>
    <filterColumn colId="10" showButton="0"/>
    <filterColumn colId="11" showButton="0"/>
    <filterColumn colId="13" showButton="0"/>
    <filterColumn colId="14" showButton="0"/>
    <filterColumn colId="15" showButton="0"/>
  </autoFilter>
  <mergeCells count="12">
    <mergeCell ref="A1:A2"/>
    <mergeCell ref="B1:B2"/>
    <mergeCell ref="C1:C2"/>
    <mergeCell ref="D1:D2"/>
    <mergeCell ref="E1:E2"/>
    <mergeCell ref="R1:R2"/>
    <mergeCell ref="I1:J1"/>
    <mergeCell ref="F1:F2"/>
    <mergeCell ref="K1:M1"/>
    <mergeCell ref="N1:Q1"/>
    <mergeCell ref="G1:G2"/>
    <mergeCell ref="H1:H2"/>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DD75DF65-2684-4D66-8D5C-FF6F5EC8114D}">
            <xm:f>NOT(ISERROR(SEARCH(Lists!$G$9,D1)))</xm:f>
            <xm:f>Lists!$G$9</xm:f>
            <x14:dxf>
              <font>
                <b val="0"/>
                <i val="0"/>
                <color theme="9" tint="-0.499984740745262"/>
              </font>
              <fill>
                <patternFill patternType="solid">
                  <bgColor rgb="FF00B050"/>
                </patternFill>
              </fill>
            </x14:dxf>
          </x14:cfRule>
          <x14:cfRule type="containsText" priority="4" operator="containsText" id="{DD778204-90FD-4FA2-8514-C9F2557908FD}">
            <xm:f>NOT(ISERROR(SEARCH(Lists!$G$8,D1)))</xm:f>
            <xm:f>Lists!$G$8</xm:f>
            <x14:dxf>
              <font>
                <color rgb="FF006100"/>
              </font>
              <fill>
                <patternFill patternType="solid">
                  <bgColor rgb="FF63BE7B"/>
                </patternFill>
              </fill>
            </x14:dxf>
          </x14:cfRule>
          <x14:cfRule type="containsText" priority="5" operator="containsText" id="{9ACF521F-9EA2-4E9E-9662-2599BBABED07}">
            <xm:f>NOT(ISERROR(SEARCH(Lists!$G$7,D1)))</xm:f>
            <xm:f>Lists!$G$7</xm:f>
            <x14:dxf>
              <font>
                <color rgb="FF002060"/>
              </font>
              <fill>
                <patternFill patternType="solid">
                  <bgColor rgb="FFC3DA6E"/>
                </patternFill>
              </fill>
            </x14:dxf>
          </x14:cfRule>
          <x14:cfRule type="containsText" priority="6" operator="containsText" id="{181C9A66-3A3F-49E1-9C88-E2FB3D11BFC1}">
            <xm:f>NOT(ISERROR(SEARCH(Lists!$G$6,D1)))</xm:f>
            <xm:f>Lists!$G$6</xm:f>
            <x14:dxf>
              <font>
                <color rgb="FF00B050"/>
              </font>
              <fill>
                <patternFill patternType="solid">
                  <bgColor rgb="FFBCD780"/>
                </patternFill>
              </fill>
            </x14:dxf>
          </x14:cfRule>
          <x14:cfRule type="containsText" priority="7" operator="containsText" id="{8B3DF869-38B8-4BA0-ABCF-33B4FDB40A0A}">
            <xm:f>NOT(ISERROR(SEARCH(Lists!$G$5,D1)))</xm:f>
            <xm:f>Lists!$G$5</xm:f>
            <x14:dxf>
              <font>
                <color rgb="FF63BE7B"/>
              </font>
              <fill>
                <patternFill patternType="solid">
                  <bgColor rgb="FFE8E482"/>
                </patternFill>
              </fill>
            </x14:dxf>
          </x14:cfRule>
          <x14:cfRule type="containsText" priority="8" operator="containsText" id="{F1B1071E-8202-4C3D-81FE-B95296ECC078}">
            <xm:f>NOT(ISERROR(SEARCH(Lists!$G$4,D1)))</xm:f>
            <xm:f>Lists!$G$4</xm:f>
            <x14:dxf>
              <font>
                <color rgb="FF9C5700"/>
              </font>
              <fill>
                <patternFill>
                  <bgColor rgb="FFFFEB9C"/>
                </patternFill>
              </fill>
            </x14:dxf>
          </x14:cfRule>
          <x14:cfRule type="containsText" priority="9" operator="containsText" id="{17B57C5C-9DB7-4F63-AC85-0011CA989DEE}">
            <xm:f>NOT(ISERROR(SEARCH(Lists!$G$3,D1)))</xm:f>
            <xm:f>Lists!$G$3</xm:f>
            <x14:dxf>
              <font>
                <color rgb="FF9C0006"/>
              </font>
              <fill>
                <patternFill patternType="solid">
                  <bgColor rgb="FFFCB47A"/>
                </patternFill>
              </fill>
            </x14:dxf>
          </x14:cfRule>
          <x14:cfRule type="containsText" priority="10" operator="containsText" id="{D355B2BB-E15D-426C-A678-8361D08F917B}">
            <xm:f>NOT(ISERROR(SEARCH(Lists!$G$2,D1)))</xm:f>
            <xm:f>Lists!$G$2</xm:f>
            <x14:dxf>
              <font>
                <color rgb="FF9C0006"/>
              </font>
              <fill>
                <patternFill patternType="solid">
                  <bgColor rgb="FFF8696B"/>
                </patternFill>
              </fill>
            </x14:dxf>
          </x14:cfRule>
          <xm:sqref>D1 D3:D1048576</xm:sqref>
        </x14:conditionalFormatting>
        <x14:conditionalFormatting xmlns:xm="http://schemas.microsoft.com/office/excel/2006/main">
          <x14:cfRule type="containsText" priority="1" operator="containsText" id="{B5487758-A7DA-4A84-A62D-ADA55B834B76}">
            <xm:f>NOT(ISERROR(SEARCH(Lists!$K$3,E1)))</xm:f>
            <xm:f>Lists!$K$3</xm:f>
            <x14:dxf>
              <fill>
                <patternFill>
                  <bgColor theme="4" tint="0.39994506668294322"/>
                </patternFill>
              </fill>
            </x14:dxf>
          </x14:cfRule>
          <x14:cfRule type="containsText" priority="2" operator="containsText" id="{53D18DA6-25F7-442C-9865-0DC74E3D82EA}">
            <xm:f>NOT(ISERROR(SEARCH(Lists!$K$2,E1)))</xm:f>
            <xm:f>Lists!$K$2</xm:f>
            <x14:dxf>
              <fill>
                <patternFill>
                  <bgColor theme="8" tint="0.39994506668294322"/>
                </patternFill>
              </fill>
            </x14:dxf>
          </x14:cfRule>
          <xm:sqref>E1 E3:E1048576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94B7A721-6909-414A-8919-2A2C676800AA}">
          <x14:formula1>
            <xm:f>Lists!$G$2:$G$9</xm:f>
          </x14:formula1>
          <xm:sqref>D1 D3:D1048576</xm:sqref>
        </x14:dataValidation>
        <x14:dataValidation type="list" allowBlank="1" showInputMessage="1" showErrorMessage="1" xr:uid="{B560C1DF-14A1-47A2-A635-5EBD4C401427}">
          <x14:formula1>
            <xm:f>Lists!$I$1:$I$13</xm:f>
          </x14:formula1>
          <xm:sqref>N131:N1048576 N2:N50</xm:sqref>
        </x14:dataValidation>
        <x14:dataValidation type="list" allowBlank="1" showInputMessage="1" showErrorMessage="1" xr:uid="{30D0C080-9ECD-419B-ACAB-7BB8A896807F}">
          <x14:formula1>
            <xm:f>Lists!$K$2:$K$3</xm:f>
          </x14:formula1>
          <xm:sqref>E1 E3:E1048576</xm:sqref>
        </x14:dataValidation>
        <x14:dataValidation type="list" allowBlank="1" showInputMessage="1" showErrorMessage="1" xr:uid="{BADC69B1-07DD-46A9-AFCD-A175B0F1256C}">
          <x14:formula1>
            <xm:f>Lists!$C$1:$C$8</xm:f>
          </x14:formula1>
          <xm:sqref>F1 F3:F85 F131:F1048576 G132:G136</xm:sqref>
        </x14:dataValidation>
        <x14:dataValidation type="list" allowBlank="1" showInputMessage="1" showErrorMessage="1" xr:uid="{4CE77FCE-AF31-44B8-B29E-BDD442A30BBF}">
          <x14:formula1>
            <xm:f>Lists!$M$1:$M$11</xm:f>
          </x14:formula1>
          <xm:sqref>O1:O1048576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03A3-A9EF-4048-A0F8-875D7F4CF16F}">
  <dimension ref="A1:B12"/>
  <sheetViews>
    <sheetView workbookViewId="0">
      <selection activeCell="C1" sqref="C1"/>
    </sheetView>
  </sheetViews>
  <sheetFormatPr baseColWidth="10" defaultColWidth="8.6640625" defaultRowHeight="15" x14ac:dyDescent="0.2"/>
  <cols>
    <col min="1" max="1" width="13.6640625" bestFit="1" customWidth="1"/>
    <col min="2" max="2" width="12.33203125" customWidth="1"/>
  </cols>
  <sheetData>
    <row r="1" spans="1:2" x14ac:dyDescent="0.2">
      <c r="A1" s="1" t="s">
        <v>346</v>
      </c>
      <c r="B1">
        <f>SUM(B2:B9)</f>
        <v>128</v>
      </c>
    </row>
    <row r="2" spans="1:2" x14ac:dyDescent="0.2">
      <c r="A2" s="2" t="s">
        <v>347</v>
      </c>
      <c r="B2">
        <f>COUNTIF(Data!D:D,"Gathered")</f>
        <v>0</v>
      </c>
    </row>
    <row r="3" spans="1:2" x14ac:dyDescent="0.2">
      <c r="A3" s="1" t="s">
        <v>348</v>
      </c>
      <c r="B3">
        <f>COUNTIF(Data!D:D,"Tray")</f>
        <v>0</v>
      </c>
    </row>
    <row r="4" spans="1:2" x14ac:dyDescent="0.2">
      <c r="A4" s="1" t="s">
        <v>349</v>
      </c>
      <c r="B4">
        <f>COUNTIF(Data!D:D,"Dryed")</f>
        <v>0</v>
      </c>
    </row>
    <row r="5" spans="1:2" x14ac:dyDescent="0.2">
      <c r="A5" s="1" t="s">
        <v>350</v>
      </c>
      <c r="B5">
        <f>COUNTIF(Data!D:D,"Sieved")</f>
        <v>0</v>
      </c>
    </row>
    <row r="6" spans="1:2" x14ac:dyDescent="0.2">
      <c r="A6" s="1" t="s">
        <v>351</v>
      </c>
      <c r="B6">
        <f>COUNTIF(Data!D:D,"Dissolved")</f>
        <v>0</v>
      </c>
    </row>
    <row r="7" spans="1:2" x14ac:dyDescent="0.2">
      <c r="A7" s="1" t="s">
        <v>102</v>
      </c>
      <c r="B7">
        <f>COUNTIF(Data!D:D,"Filtered")</f>
        <v>2</v>
      </c>
    </row>
    <row r="8" spans="1:2" x14ac:dyDescent="0.2">
      <c r="A8" s="1" t="s">
        <v>352</v>
      </c>
      <c r="B8">
        <f>COUNTIF(Data!D:D,"Analysing")</f>
        <v>0</v>
      </c>
    </row>
    <row r="9" spans="1:2" x14ac:dyDescent="0.2">
      <c r="A9" s="1" t="s">
        <v>22</v>
      </c>
      <c r="B9">
        <f>COUNTIF(Data!D:D,"Finished")</f>
        <v>126</v>
      </c>
    </row>
    <row r="11" spans="1:2" x14ac:dyDescent="0.2">
      <c r="A11" t="s">
        <v>353</v>
      </c>
      <c r="B11">
        <f>COUNTIF(Data!E:E,"Finished SIC")</f>
        <v>0</v>
      </c>
    </row>
    <row r="12" spans="1:2" x14ac:dyDescent="0.2">
      <c r="A12" t="s">
        <v>23</v>
      </c>
      <c r="B12">
        <f>COUNTIF(Data!E:E,"Finished Nile Red")</f>
        <v>126</v>
      </c>
    </row>
  </sheetData>
  <conditionalFormatting sqref="B9 B1">
    <cfRule type="colorScale" priority="1">
      <colorScale>
        <cfvo type="num" val="0"/>
        <cfvo type="percentile" val="50"/>
        <cfvo type="num" val="150"/>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C4341-BF18-4C97-8A31-BFC369F022E0}">
  <dimension ref="A1:M14"/>
  <sheetViews>
    <sheetView workbookViewId="0">
      <selection activeCell="L12" sqref="L12"/>
    </sheetView>
  </sheetViews>
  <sheetFormatPr baseColWidth="10" defaultColWidth="9.1640625" defaultRowHeight="15" x14ac:dyDescent="0.2"/>
  <cols>
    <col min="7" max="7" width="13.83203125" bestFit="1" customWidth="1"/>
    <col min="11" max="11" width="16.33203125" bestFit="1" customWidth="1"/>
  </cols>
  <sheetData>
    <row r="1" spans="1:13" x14ac:dyDescent="0.2">
      <c r="A1" s="1" t="s">
        <v>354</v>
      </c>
      <c r="C1" s="1" t="s">
        <v>355</v>
      </c>
      <c r="E1" s="1" t="s">
        <v>9</v>
      </c>
      <c r="G1" s="1" t="s">
        <v>3</v>
      </c>
      <c r="I1" s="6" t="s">
        <v>16</v>
      </c>
      <c r="K1" s="1" t="s">
        <v>4</v>
      </c>
      <c r="M1" s="6" t="s">
        <v>17</v>
      </c>
    </row>
    <row r="2" spans="1:13" x14ac:dyDescent="0.2">
      <c r="A2" t="s">
        <v>26</v>
      </c>
      <c r="C2" t="s">
        <v>24</v>
      </c>
      <c r="E2" t="s">
        <v>176</v>
      </c>
      <c r="G2" s="3" t="s">
        <v>347</v>
      </c>
      <c r="I2" s="7" t="s">
        <v>26</v>
      </c>
      <c r="K2" s="10" t="s">
        <v>353</v>
      </c>
      <c r="M2" t="s">
        <v>141</v>
      </c>
    </row>
    <row r="3" spans="1:13" x14ac:dyDescent="0.2">
      <c r="A3" t="s">
        <v>34</v>
      </c>
      <c r="C3" t="s">
        <v>29</v>
      </c>
      <c r="E3" t="s">
        <v>25</v>
      </c>
      <c r="G3" t="s">
        <v>348</v>
      </c>
      <c r="I3" s="7" t="s">
        <v>34</v>
      </c>
      <c r="K3" s="10" t="s">
        <v>23</v>
      </c>
      <c r="M3" t="s">
        <v>164</v>
      </c>
    </row>
    <row r="4" spans="1:13" x14ac:dyDescent="0.2">
      <c r="A4" t="s">
        <v>95</v>
      </c>
      <c r="C4" t="s">
        <v>39</v>
      </c>
      <c r="E4" t="s">
        <v>140</v>
      </c>
      <c r="G4" t="s">
        <v>349</v>
      </c>
      <c r="I4" s="7" t="s">
        <v>95</v>
      </c>
      <c r="M4" t="s">
        <v>177</v>
      </c>
    </row>
    <row r="5" spans="1:13" x14ac:dyDescent="0.2">
      <c r="A5" t="s">
        <v>136</v>
      </c>
      <c r="C5" t="s">
        <v>72</v>
      </c>
      <c r="G5" t="s">
        <v>350</v>
      </c>
      <c r="I5" s="7" t="s">
        <v>136</v>
      </c>
      <c r="M5" t="s">
        <v>26</v>
      </c>
    </row>
    <row r="6" spans="1:13" x14ac:dyDescent="0.2">
      <c r="A6" t="s">
        <v>262</v>
      </c>
      <c r="C6" t="s">
        <v>78</v>
      </c>
      <c r="G6" t="s">
        <v>351</v>
      </c>
      <c r="I6" s="7" t="s">
        <v>262</v>
      </c>
      <c r="M6" t="s">
        <v>136</v>
      </c>
    </row>
    <row r="7" spans="1:13" x14ac:dyDescent="0.2">
      <c r="A7" t="s">
        <v>289</v>
      </c>
      <c r="C7" t="s">
        <v>59</v>
      </c>
      <c r="G7" t="s">
        <v>102</v>
      </c>
      <c r="I7" s="7" t="s">
        <v>289</v>
      </c>
      <c r="M7" t="s">
        <v>303</v>
      </c>
    </row>
    <row r="8" spans="1:13" x14ac:dyDescent="0.2">
      <c r="A8" t="s">
        <v>141</v>
      </c>
      <c r="C8" t="s">
        <v>58</v>
      </c>
      <c r="G8" t="s">
        <v>352</v>
      </c>
      <c r="I8" s="7" t="s">
        <v>141</v>
      </c>
      <c r="M8" t="s">
        <v>356</v>
      </c>
    </row>
    <row r="9" spans="1:13" x14ac:dyDescent="0.2">
      <c r="A9" t="s">
        <v>303</v>
      </c>
      <c r="G9" s="9" t="s">
        <v>22</v>
      </c>
      <c r="I9" t="s">
        <v>356</v>
      </c>
      <c r="M9" t="s">
        <v>289</v>
      </c>
    </row>
    <row r="10" spans="1:13" x14ac:dyDescent="0.2">
      <c r="I10" t="s">
        <v>229</v>
      </c>
      <c r="M10" t="s">
        <v>229</v>
      </c>
    </row>
    <row r="11" spans="1:13" x14ac:dyDescent="0.2">
      <c r="I11" t="s">
        <v>177</v>
      </c>
      <c r="M11" t="s">
        <v>262</v>
      </c>
    </row>
    <row r="12" spans="1:13" x14ac:dyDescent="0.2">
      <c r="I12" t="s">
        <v>164</v>
      </c>
    </row>
    <row r="13" spans="1:13" x14ac:dyDescent="0.2">
      <c r="I13" s="7" t="s">
        <v>58</v>
      </c>
    </row>
    <row r="14" spans="1:13" x14ac:dyDescent="0.2">
      <c r="A14" t="s">
        <v>58</v>
      </c>
    </row>
  </sheetData>
  <dataValidations count="1">
    <dataValidation allowBlank="1" showInputMessage="1" showErrorMessage="1" sqref="M1" xr:uid="{F138A76C-0ED2-4FC7-A7CE-B81D22A3090B}"/>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1903BC98-9FC7-4862-894B-A79D12B4FDA2}">
            <xm:f>NOT(ISERROR(SEARCH($G$8,G2)))</xm:f>
            <xm:f>$G$8</xm:f>
            <x14:dxf>
              <font>
                <color rgb="FF006100"/>
              </font>
              <fill>
                <patternFill>
                  <bgColor rgb="FFC6EFCE"/>
                </patternFill>
              </fill>
            </x14:dxf>
          </x14:cfRule>
          <x14:cfRule type="containsText" priority="3" operator="containsText" id="{1AEB7ED9-7536-44EC-B640-2A121AC28D48}">
            <xm:f>NOT(ISERROR(SEARCH($G$7,G2)))</xm:f>
            <xm:f>$G$7</xm:f>
            <x14:dxf>
              <font>
                <color rgb="FF9C5700"/>
              </font>
              <fill>
                <patternFill>
                  <bgColor rgb="FFFFEB9C"/>
                </patternFill>
              </fill>
            </x14:dxf>
          </x14:cfRule>
          <x14:cfRule type="containsText" priority="4" operator="containsText" id="{1B69E226-787B-40BB-ADF7-27772F94594E}">
            <xm:f>NOT(ISERROR(SEARCH($G$6,G2)))</xm:f>
            <xm:f>$G$6</xm:f>
            <x14:dxf>
              <font>
                <color rgb="FF9C5700"/>
              </font>
              <fill>
                <patternFill>
                  <bgColor rgb="FFFFEB9C"/>
                </patternFill>
              </fill>
            </x14:dxf>
          </x14:cfRule>
          <x14:cfRule type="containsText" priority="5" operator="containsText" id="{152BB185-4FCE-45D1-BBBF-8E3EEDF94ED3}">
            <xm:f>NOT(ISERROR(SEARCH($G$5,G2)))</xm:f>
            <xm:f>$G$5</xm:f>
            <x14:dxf>
              <font>
                <color rgb="FF9C5700"/>
              </font>
              <fill>
                <patternFill>
                  <bgColor rgb="FFFFEB9C"/>
                </patternFill>
              </fill>
            </x14:dxf>
          </x14:cfRule>
          <x14:cfRule type="containsText" priority="6" operator="containsText" id="{0EC1299B-6914-49FB-A2AC-21303885D14B}">
            <xm:f>NOT(ISERROR(SEARCH($G$4,G2)))</xm:f>
            <xm:f>$G$4</xm:f>
            <x14:dxf>
              <font>
                <color rgb="FF9C5700"/>
              </font>
              <fill>
                <patternFill>
                  <bgColor rgb="FFFFEB9C"/>
                </patternFill>
              </fill>
            </x14:dxf>
          </x14:cfRule>
          <x14:cfRule type="containsText" priority="8" operator="containsText" id="{E609A117-1BB8-49C4-9B2F-5682095459AE}">
            <xm:f>NOT(ISERROR(SEARCH($G$2,G2)))</xm:f>
            <xm:f>$G$2</xm:f>
            <x14:dxf>
              <font>
                <color rgb="FF9C0006"/>
              </font>
              <fill>
                <patternFill>
                  <bgColor rgb="FFFFC7CE"/>
                </patternFill>
              </fill>
            </x14:dxf>
          </x14:cfRule>
          <xm:sqref>G2:G8</xm:sqref>
        </x14:conditionalFormatting>
        <x14:conditionalFormatting xmlns:xm="http://schemas.microsoft.com/office/excel/2006/main">
          <x14:cfRule type="containsText" priority="7" operator="containsText" id="{6E92F02F-4328-4C7D-8CCE-9935A5A1EF49}">
            <xm:f>NOT(ISERROR(SEARCH($G$3,G3)))</xm:f>
            <xm:f>$G$3</xm:f>
            <x14:dxf>
              <font>
                <color rgb="FF9C0006"/>
              </font>
              <fill>
                <patternFill>
                  <bgColor rgb="FFFFC7CE"/>
                </patternFill>
              </fill>
            </x14:dxf>
          </x14:cfRule>
          <xm:sqref>G3:G8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5CEEC-B6D8-4741-AC22-8C1092E4FFFF}">
  <dimension ref="A1:AA51"/>
  <sheetViews>
    <sheetView workbookViewId="0">
      <selection activeCell="Z19" sqref="Z19"/>
    </sheetView>
  </sheetViews>
  <sheetFormatPr baseColWidth="10" defaultColWidth="8.6640625" defaultRowHeight="15" x14ac:dyDescent="0.2"/>
  <cols>
    <col min="1" max="1" width="13.33203125" bestFit="1" customWidth="1"/>
    <col min="2" max="2" width="10.83203125" bestFit="1" customWidth="1"/>
    <col min="12" max="12" width="18" bestFit="1" customWidth="1"/>
    <col min="13" max="13" width="10" bestFit="1" customWidth="1"/>
    <col min="23" max="23" width="10.83203125" bestFit="1" customWidth="1"/>
    <col min="24" max="24" width="12.6640625" bestFit="1" customWidth="1"/>
    <col min="25" max="25" width="30.6640625" bestFit="1" customWidth="1"/>
    <col min="26" max="26" width="68" bestFit="1" customWidth="1"/>
    <col min="27" max="29" width="8.6640625" bestFit="1" customWidth="1"/>
  </cols>
  <sheetData>
    <row r="1" spans="1:21" ht="16" thickBot="1" x14ac:dyDescent="0.25">
      <c r="B1" s="6" t="s">
        <v>26</v>
      </c>
      <c r="C1" s="6" t="s">
        <v>34</v>
      </c>
      <c r="D1" s="6" t="s">
        <v>95</v>
      </c>
      <c r="E1" s="6" t="s">
        <v>136</v>
      </c>
      <c r="F1" s="6" t="s">
        <v>262</v>
      </c>
      <c r="G1" s="6" t="s">
        <v>289</v>
      </c>
      <c r="H1" s="6" t="s">
        <v>141</v>
      </c>
      <c r="I1" s="1" t="s">
        <v>229</v>
      </c>
      <c r="J1" s="1" t="s">
        <v>303</v>
      </c>
      <c r="L1" s="1" t="str" cm="1">
        <f t="array" ref="L1:U1">TRANSPOSE(_xlfn.UNIQUE(_xlfn._xlws.FILTER(Data!O:O, Data!O:O&lt;&gt;"")))</f>
        <v>Kommuner</v>
      </c>
      <c r="M1" s="1" t="str">
        <v>Trondheim</v>
      </c>
      <c r="N1" s="1" t="str">
        <v>Melhus</v>
      </c>
      <c r="O1" s="1" t="str">
        <v>Rindal</v>
      </c>
      <c r="P1" s="1" t="str">
        <v>Orkland</v>
      </c>
      <c r="Q1" s="1" t="str">
        <v>Skaun</v>
      </c>
      <c r="R1" s="1" t="str">
        <v>Levanger</v>
      </c>
      <c r="S1" s="1" t="str">
        <v>Frosta</v>
      </c>
      <c r="T1" s="1" t="str">
        <v>Stjørdal</v>
      </c>
      <c r="U1" s="1" t="str">
        <v>Selbu</v>
      </c>
    </row>
    <row r="2" spans="1:21" x14ac:dyDescent="0.2">
      <c r="A2" s="22" t="s">
        <v>357</v>
      </c>
      <c r="B2" s="25">
        <f t="shared" ref="B2:I2" si="0">SUM(_xlfn.ANCHORARRAY(B5))</f>
        <v>2</v>
      </c>
      <c r="C2" s="26">
        <f t="shared" si="0"/>
        <v>32</v>
      </c>
      <c r="D2" s="26">
        <f t="shared" si="0"/>
        <v>17</v>
      </c>
      <c r="E2" s="26">
        <f t="shared" si="0"/>
        <v>31</v>
      </c>
      <c r="F2" s="26">
        <f t="shared" si="0"/>
        <v>16</v>
      </c>
      <c r="G2" s="26">
        <f t="shared" si="0"/>
        <v>5</v>
      </c>
      <c r="H2" s="26">
        <f t="shared" si="0"/>
        <v>25</v>
      </c>
      <c r="I2" s="26">
        <f t="shared" si="0"/>
        <v>12</v>
      </c>
      <c r="J2" s="27">
        <f>SUM(_xlfn.ANCHORARRAY(J5))</f>
        <v>14</v>
      </c>
      <c r="L2" s="36" t="s">
        <v>358</v>
      </c>
      <c r="M2" s="25">
        <f t="shared" ref="M2:U2" si="1">AVERAGE(_xlfn.ANCHORARRAY(M7))</f>
        <v>1.1333333333333333</v>
      </c>
      <c r="N2" s="26">
        <f t="shared" si="1"/>
        <v>1.7222222222222223</v>
      </c>
      <c r="O2" s="26">
        <f t="shared" si="1"/>
        <v>1.8888888888888888</v>
      </c>
      <c r="P2" s="26">
        <f t="shared" si="1"/>
        <v>0.2</v>
      </c>
      <c r="Q2" s="26">
        <f t="shared" si="1"/>
        <v>1.75</v>
      </c>
      <c r="R2" s="26">
        <f t="shared" si="1"/>
        <v>1</v>
      </c>
      <c r="S2" s="26">
        <f t="shared" si="1"/>
        <v>1.7777777777777777</v>
      </c>
      <c r="T2" s="26">
        <f t="shared" si="1"/>
        <v>0.84615384615384615</v>
      </c>
      <c r="U2" s="27">
        <f t="shared" si="1"/>
        <v>0.72727272727272729</v>
      </c>
    </row>
    <row r="3" spans="1:21" ht="16" thickBot="1" x14ac:dyDescent="0.25">
      <c r="A3" s="23" t="s">
        <v>358</v>
      </c>
      <c r="B3" s="28">
        <f>AVERAGE(_xlfn.ANCHORARRAY(B5))</f>
        <v>1</v>
      </c>
      <c r="C3">
        <f t="shared" ref="C3:G3" si="2">AVERAGE(_xlfn.ANCHORARRAY(C5))</f>
        <v>1.3913043478260869</v>
      </c>
      <c r="D3">
        <f t="shared" si="2"/>
        <v>0.85</v>
      </c>
      <c r="E3">
        <f t="shared" si="2"/>
        <v>1.7222222222222223</v>
      </c>
      <c r="F3">
        <f t="shared" si="2"/>
        <v>1.7777777777777777</v>
      </c>
      <c r="G3">
        <f t="shared" si="2"/>
        <v>1</v>
      </c>
      <c r="H3">
        <f>AVERAGE(_xlfn.ANCHORARRAY(H5))</f>
        <v>1.3888888888888888</v>
      </c>
      <c r="I3">
        <f t="shared" ref="I3" si="3">AVERAGE(_xlfn.ANCHORARRAY(I5))</f>
        <v>1</v>
      </c>
      <c r="J3" s="29">
        <f>AVERAGE(_xlfn.ANCHORARRAY(J5))</f>
        <v>0.73684210526315785</v>
      </c>
      <c r="L3" s="39" t="s">
        <v>359</v>
      </c>
      <c r="M3" s="28">
        <f t="shared" ref="M3:U3" si="4">MEDIAN(_xlfn.ANCHORARRAY(M7))</f>
        <v>1</v>
      </c>
      <c r="N3">
        <f t="shared" si="4"/>
        <v>1</v>
      </c>
      <c r="O3">
        <f t="shared" si="4"/>
        <v>1</v>
      </c>
      <c r="P3">
        <f t="shared" si="4"/>
        <v>0</v>
      </c>
      <c r="Q3">
        <f t="shared" si="4"/>
        <v>1.5</v>
      </c>
      <c r="R3">
        <f t="shared" si="4"/>
        <v>1</v>
      </c>
      <c r="S3">
        <f t="shared" si="4"/>
        <v>2</v>
      </c>
      <c r="T3">
        <f t="shared" si="4"/>
        <v>1</v>
      </c>
      <c r="U3" s="29">
        <f t="shared" si="4"/>
        <v>0</v>
      </c>
    </row>
    <row r="4" spans="1:21" ht="16" thickBot="1" x14ac:dyDescent="0.25">
      <c r="A4" s="24" t="s">
        <v>359</v>
      </c>
      <c r="B4" s="30">
        <f t="shared" ref="B4:I4" si="5">MEDIAN(_xlfn.ANCHORARRAY(B5))</f>
        <v>1</v>
      </c>
      <c r="C4" s="31">
        <f t="shared" si="5"/>
        <v>1</v>
      </c>
      <c r="D4" s="31">
        <f t="shared" si="5"/>
        <v>0</v>
      </c>
      <c r="E4" s="31">
        <f t="shared" si="5"/>
        <v>1</v>
      </c>
      <c r="F4" s="31">
        <f t="shared" si="5"/>
        <v>2</v>
      </c>
      <c r="G4" s="31">
        <f t="shared" si="5"/>
        <v>1</v>
      </c>
      <c r="H4" s="31">
        <f t="shared" si="5"/>
        <v>1</v>
      </c>
      <c r="I4" s="31">
        <f t="shared" si="5"/>
        <v>1</v>
      </c>
      <c r="J4" s="32">
        <f>MEDIAN(_xlfn.ANCHORARRAY(J5))</f>
        <v>0</v>
      </c>
      <c r="L4" s="40" t="s">
        <v>360</v>
      </c>
      <c r="M4" s="25">
        <f t="shared" ref="M4:U4" si="6">SUM(_xlfn.ANCHORARRAY(M7))</f>
        <v>51</v>
      </c>
      <c r="N4" s="26">
        <f t="shared" si="6"/>
        <v>31</v>
      </c>
      <c r="O4" s="26">
        <f t="shared" si="6"/>
        <v>17</v>
      </c>
      <c r="P4" s="26">
        <f t="shared" si="6"/>
        <v>1</v>
      </c>
      <c r="Q4" s="26">
        <f t="shared" si="6"/>
        <v>7</v>
      </c>
      <c r="R4" s="26">
        <f t="shared" si="6"/>
        <v>12</v>
      </c>
      <c r="S4" s="26">
        <f t="shared" si="6"/>
        <v>16</v>
      </c>
      <c r="T4" s="26">
        <f t="shared" si="6"/>
        <v>11</v>
      </c>
      <c r="U4" s="27">
        <f t="shared" si="6"/>
        <v>8</v>
      </c>
    </row>
    <row r="5" spans="1:21" x14ac:dyDescent="0.2">
      <c r="B5" cm="1">
        <f t="array" ref="B5:B6">_xlfn._xlws.FILTER(Data!$I:$I,Data!$N:$N=B1)</f>
        <v>1</v>
      </c>
      <c r="C5" cm="1">
        <f t="array" ref="C5:C27">_xlfn._xlws.FILTER(Data!$I:$I,Data!$N:$N=C1)</f>
        <v>3</v>
      </c>
      <c r="D5" cm="1">
        <f t="array" ref="D5:D24">_xlfn._xlws.FILTER(Data!$I:$I,Data!$N:$N=D1)</f>
        <v>0</v>
      </c>
      <c r="E5" cm="1">
        <f t="array" ref="E5:E22">_xlfn._xlws.FILTER(Data!$I:$I,Data!$N:$N=E1)</f>
        <v>0</v>
      </c>
      <c r="F5" cm="1">
        <f t="array" ref="F5:F13">_xlfn._xlws.FILTER(Data!$I:$I,Data!$N:$N=F1)</f>
        <v>2</v>
      </c>
      <c r="G5" cm="1">
        <f t="array" ref="G5:G9">_xlfn._xlws.FILTER(Data!$I:$I,Data!$N:$N=G1)</f>
        <v>0</v>
      </c>
      <c r="H5" cm="1">
        <f t="array" ref="H5:H22">_xlfn._xlws.FILTER(Data!$I:$I,Data!$N:$N=H1)</f>
        <v>1</v>
      </c>
      <c r="I5" cm="1">
        <f t="array" ref="I5:I16">_xlfn._xlws.FILTER(Data!$I:$I,Data!$N:$N=I1)</f>
        <v>3</v>
      </c>
      <c r="J5" cm="1">
        <f t="array" ref="J5:J23">_xlfn._xlws.FILTER(Data!$I:$I,Data!$N:$N=J1)</f>
        <v>1</v>
      </c>
      <c r="L5" s="37" t="s">
        <v>361</v>
      </c>
      <c r="M5" s="26">
        <f t="shared" ref="M5:U5" si="7">COUNTIF(_xlfn.ANCHORARRAY(M7),"&gt;0")</f>
        <v>25</v>
      </c>
      <c r="N5" s="26">
        <f t="shared" si="7"/>
        <v>15</v>
      </c>
      <c r="O5" s="26">
        <f t="shared" si="7"/>
        <v>9</v>
      </c>
      <c r="P5" s="26">
        <f t="shared" si="7"/>
        <v>1</v>
      </c>
      <c r="Q5" s="26">
        <f t="shared" si="7"/>
        <v>4</v>
      </c>
      <c r="R5" s="26">
        <f t="shared" si="7"/>
        <v>7</v>
      </c>
      <c r="S5" s="26">
        <f t="shared" si="7"/>
        <v>8</v>
      </c>
      <c r="T5" s="26">
        <f t="shared" si="7"/>
        <v>7</v>
      </c>
      <c r="U5" s="27">
        <f t="shared" si="7"/>
        <v>4</v>
      </c>
    </row>
    <row r="6" spans="1:21" ht="16" thickBot="1" x14ac:dyDescent="0.25">
      <c r="B6">
        <v>1</v>
      </c>
      <c r="C6">
        <v>3</v>
      </c>
      <c r="D6">
        <v>1</v>
      </c>
      <c r="E6">
        <v>1</v>
      </c>
      <c r="F6">
        <v>2</v>
      </c>
      <c r="G6">
        <v>1</v>
      </c>
      <c r="H6">
        <v>1</v>
      </c>
      <c r="I6">
        <v>2</v>
      </c>
      <c r="J6">
        <v>1</v>
      </c>
      <c r="L6" s="38" t="s">
        <v>362</v>
      </c>
      <c r="M6" s="31">
        <f t="shared" ref="M6:U6" si="8">COUNT(_xlfn.ANCHORARRAY(M7))</f>
        <v>45</v>
      </c>
      <c r="N6" s="31">
        <f t="shared" si="8"/>
        <v>18</v>
      </c>
      <c r="O6" s="31">
        <f t="shared" si="8"/>
        <v>9</v>
      </c>
      <c r="P6" s="31">
        <f t="shared" si="8"/>
        <v>5</v>
      </c>
      <c r="Q6" s="31">
        <f t="shared" si="8"/>
        <v>4</v>
      </c>
      <c r="R6" s="31">
        <f t="shared" si="8"/>
        <v>12</v>
      </c>
      <c r="S6" s="31">
        <f t="shared" si="8"/>
        <v>9</v>
      </c>
      <c r="T6" s="31">
        <f t="shared" si="8"/>
        <v>13</v>
      </c>
      <c r="U6" s="32">
        <f t="shared" si="8"/>
        <v>11</v>
      </c>
    </row>
    <row r="7" spans="1:21" x14ac:dyDescent="0.2">
      <c r="C7">
        <v>5</v>
      </c>
      <c r="D7">
        <v>5</v>
      </c>
      <c r="E7">
        <v>4</v>
      </c>
      <c r="F7">
        <v>2</v>
      </c>
      <c r="G7">
        <v>3</v>
      </c>
      <c r="H7">
        <v>5</v>
      </c>
      <c r="I7">
        <v>2</v>
      </c>
      <c r="J7">
        <v>3</v>
      </c>
      <c r="M7" cm="1">
        <f t="array" ref="M7:M51">_xlfn._xlws.FILTER(Data!$I:$I,Data!$O:$O=M1)</f>
        <v>1</v>
      </c>
      <c r="N7" cm="1">
        <f t="array" ref="N7:N24">_xlfn._xlws.FILTER(Data!$I:$I,Data!$O:$O=N1)</f>
        <v>0</v>
      </c>
      <c r="O7" cm="1">
        <f t="array" ref="O7:O15">_xlfn._xlws.FILTER(Data!$I:$I,Data!$O:$O=O1)</f>
        <v>1</v>
      </c>
      <c r="P7" cm="1">
        <f t="array" ref="P7:P11">_xlfn._xlws.FILTER(Data!$I:$I,Data!$O:$O=P1)</f>
        <v>0</v>
      </c>
      <c r="Q7" cm="1">
        <f t="array" ref="Q7:Q10">_xlfn._xlws.FILTER(Data!$I:$I,Data!$O:$O=Q1)</f>
        <v>2</v>
      </c>
      <c r="R7" cm="1">
        <f t="array" ref="R7:R18">_xlfn._xlws.FILTER(Data!$I:$I,Data!$O:$O=R1)</f>
        <v>3</v>
      </c>
      <c r="S7" cm="1">
        <f t="array" ref="S7:S15">_xlfn._xlws.FILTER(Data!$I:$I,Data!$O:$O=S1)</f>
        <v>2</v>
      </c>
      <c r="T7" cm="1">
        <f t="array" ref="T7:T19">_xlfn._xlws.FILTER(Data!$I:$I,Data!$O:$O=T1)</f>
        <v>0</v>
      </c>
      <c r="U7" cm="1">
        <f t="array" ref="U7:U17">_xlfn._xlws.FILTER(Data!$I:$I,Data!$O:$O=U1)</f>
        <v>0</v>
      </c>
    </row>
    <row r="8" spans="1:21" x14ac:dyDescent="0.2">
      <c r="C8">
        <v>2</v>
      </c>
      <c r="D8">
        <v>0</v>
      </c>
      <c r="E8">
        <v>1</v>
      </c>
      <c r="F8">
        <v>2</v>
      </c>
      <c r="G8">
        <v>0</v>
      </c>
      <c r="H8">
        <v>1</v>
      </c>
      <c r="I8">
        <v>0</v>
      </c>
      <c r="J8">
        <v>0</v>
      </c>
      <c r="M8">
        <v>1</v>
      </c>
      <c r="N8">
        <v>1</v>
      </c>
      <c r="O8">
        <v>1</v>
      </c>
      <c r="P8">
        <v>0</v>
      </c>
      <c r="Q8">
        <v>1</v>
      </c>
      <c r="R8">
        <v>2</v>
      </c>
      <c r="S8">
        <v>2</v>
      </c>
      <c r="T8">
        <v>1</v>
      </c>
      <c r="U8">
        <v>2</v>
      </c>
    </row>
    <row r="9" spans="1:21" x14ac:dyDescent="0.2">
      <c r="C9">
        <v>0</v>
      </c>
      <c r="D9">
        <v>0</v>
      </c>
      <c r="E9">
        <v>1</v>
      </c>
      <c r="F9">
        <v>0</v>
      </c>
      <c r="G9">
        <v>1</v>
      </c>
      <c r="H9">
        <v>1</v>
      </c>
      <c r="I9">
        <v>0</v>
      </c>
      <c r="J9">
        <v>0</v>
      </c>
      <c r="M9">
        <v>3</v>
      </c>
      <c r="N9">
        <v>4</v>
      </c>
      <c r="O9">
        <v>5</v>
      </c>
      <c r="P9">
        <v>0</v>
      </c>
      <c r="Q9">
        <v>1</v>
      </c>
      <c r="R9">
        <v>2</v>
      </c>
      <c r="S9">
        <v>2</v>
      </c>
      <c r="T9">
        <v>3</v>
      </c>
      <c r="U9">
        <v>0</v>
      </c>
    </row>
    <row r="10" spans="1:21" x14ac:dyDescent="0.2">
      <c r="C10">
        <v>2</v>
      </c>
      <c r="D10">
        <v>0</v>
      </c>
      <c r="E10">
        <v>4</v>
      </c>
      <c r="F10">
        <v>3</v>
      </c>
      <c r="H10">
        <v>1</v>
      </c>
      <c r="I10">
        <v>2</v>
      </c>
      <c r="J10">
        <v>1</v>
      </c>
      <c r="M10">
        <v>3</v>
      </c>
      <c r="N10">
        <v>1</v>
      </c>
      <c r="O10">
        <v>1</v>
      </c>
      <c r="P10">
        <v>1</v>
      </c>
      <c r="Q10">
        <v>3</v>
      </c>
      <c r="R10">
        <v>0</v>
      </c>
      <c r="S10">
        <v>2</v>
      </c>
      <c r="T10">
        <v>0</v>
      </c>
      <c r="U10">
        <v>1</v>
      </c>
    </row>
    <row r="11" spans="1:21" x14ac:dyDescent="0.2">
      <c r="C11">
        <v>0</v>
      </c>
      <c r="D11">
        <v>1</v>
      </c>
      <c r="E11">
        <v>3</v>
      </c>
      <c r="F11">
        <v>1</v>
      </c>
      <c r="H11">
        <v>2</v>
      </c>
      <c r="I11">
        <v>1</v>
      </c>
      <c r="J11">
        <v>0</v>
      </c>
      <c r="M11">
        <v>5</v>
      </c>
      <c r="N11">
        <v>1</v>
      </c>
      <c r="O11">
        <v>1</v>
      </c>
      <c r="P11">
        <v>0</v>
      </c>
      <c r="R11">
        <v>0</v>
      </c>
      <c r="S11">
        <v>0</v>
      </c>
      <c r="T11">
        <v>1</v>
      </c>
      <c r="U11">
        <v>0</v>
      </c>
    </row>
    <row r="12" spans="1:21" x14ac:dyDescent="0.2">
      <c r="C12">
        <v>1</v>
      </c>
      <c r="D12">
        <v>0</v>
      </c>
      <c r="E12">
        <v>1</v>
      </c>
      <c r="F12">
        <v>1</v>
      </c>
      <c r="H12">
        <v>1</v>
      </c>
      <c r="I12">
        <v>0</v>
      </c>
      <c r="J12">
        <v>0</v>
      </c>
      <c r="M12">
        <v>2</v>
      </c>
      <c r="N12">
        <v>4</v>
      </c>
      <c r="O12">
        <v>1</v>
      </c>
      <c r="R12">
        <v>2</v>
      </c>
      <c r="S12">
        <v>3</v>
      </c>
      <c r="T12">
        <v>1</v>
      </c>
      <c r="U12">
        <v>0</v>
      </c>
    </row>
    <row r="13" spans="1:21" x14ac:dyDescent="0.2">
      <c r="C13">
        <v>3</v>
      </c>
      <c r="D13">
        <v>0</v>
      </c>
      <c r="E13">
        <v>2</v>
      </c>
      <c r="F13">
        <v>3</v>
      </c>
      <c r="H13">
        <v>4</v>
      </c>
      <c r="I13">
        <v>0</v>
      </c>
      <c r="J13">
        <v>0</v>
      </c>
      <c r="M13">
        <v>0</v>
      </c>
      <c r="N13">
        <v>3</v>
      </c>
      <c r="O13">
        <v>2</v>
      </c>
      <c r="R13">
        <v>1</v>
      </c>
      <c r="S13">
        <v>1</v>
      </c>
      <c r="T13">
        <v>1</v>
      </c>
      <c r="U13">
        <v>3</v>
      </c>
    </row>
    <row r="14" spans="1:21" x14ac:dyDescent="0.2">
      <c r="C14">
        <v>2</v>
      </c>
      <c r="D14">
        <v>0</v>
      </c>
      <c r="E14">
        <v>3</v>
      </c>
      <c r="H14">
        <v>0</v>
      </c>
      <c r="I14">
        <v>1</v>
      </c>
      <c r="J14">
        <v>2</v>
      </c>
      <c r="M14">
        <v>2</v>
      </c>
      <c r="N14">
        <v>1</v>
      </c>
      <c r="O14">
        <v>1</v>
      </c>
      <c r="R14">
        <v>0</v>
      </c>
      <c r="S14">
        <v>1</v>
      </c>
      <c r="T14">
        <v>3</v>
      </c>
      <c r="U14">
        <v>0</v>
      </c>
    </row>
    <row r="15" spans="1:21" x14ac:dyDescent="0.2">
      <c r="C15">
        <v>2</v>
      </c>
      <c r="D15">
        <v>1</v>
      </c>
      <c r="E15">
        <v>2</v>
      </c>
      <c r="H15">
        <v>0</v>
      </c>
      <c r="I15">
        <v>0</v>
      </c>
      <c r="J15">
        <v>0</v>
      </c>
      <c r="M15">
        <v>0</v>
      </c>
      <c r="N15">
        <v>2</v>
      </c>
      <c r="O15">
        <v>4</v>
      </c>
      <c r="R15">
        <v>0</v>
      </c>
      <c r="S15">
        <v>3</v>
      </c>
      <c r="T15">
        <v>0</v>
      </c>
      <c r="U15">
        <v>0</v>
      </c>
    </row>
    <row r="16" spans="1:21" x14ac:dyDescent="0.2">
      <c r="C16">
        <v>3</v>
      </c>
      <c r="D16">
        <v>0</v>
      </c>
      <c r="E16">
        <v>1</v>
      </c>
      <c r="H16">
        <v>0</v>
      </c>
      <c r="I16">
        <v>1</v>
      </c>
      <c r="J16">
        <v>1</v>
      </c>
      <c r="M16">
        <v>1</v>
      </c>
      <c r="N16">
        <v>3</v>
      </c>
      <c r="R16">
        <v>1</v>
      </c>
      <c r="T16">
        <v>0</v>
      </c>
      <c r="U16">
        <v>2</v>
      </c>
    </row>
    <row r="17" spans="3:27" x14ac:dyDescent="0.2">
      <c r="C17">
        <v>0</v>
      </c>
      <c r="D17">
        <v>2</v>
      </c>
      <c r="E17">
        <v>0</v>
      </c>
      <c r="H17">
        <v>1</v>
      </c>
      <c r="J17">
        <v>0</v>
      </c>
      <c r="M17">
        <v>3</v>
      </c>
      <c r="N17">
        <v>2</v>
      </c>
      <c r="R17">
        <v>0</v>
      </c>
      <c r="T17">
        <v>1</v>
      </c>
      <c r="U17">
        <v>0</v>
      </c>
    </row>
    <row r="18" spans="3:27" x14ac:dyDescent="0.2">
      <c r="C18">
        <v>0</v>
      </c>
      <c r="D18">
        <v>0</v>
      </c>
      <c r="E18">
        <v>1</v>
      </c>
      <c r="H18">
        <v>0</v>
      </c>
      <c r="J18">
        <v>0</v>
      </c>
      <c r="M18">
        <v>2</v>
      </c>
      <c r="N18">
        <v>1</v>
      </c>
      <c r="R18">
        <v>1</v>
      </c>
      <c r="T18">
        <v>0</v>
      </c>
    </row>
    <row r="19" spans="3:27" x14ac:dyDescent="0.2">
      <c r="C19">
        <v>0</v>
      </c>
      <c r="D19">
        <v>0</v>
      </c>
      <c r="E19">
        <v>4</v>
      </c>
      <c r="H19">
        <v>2</v>
      </c>
      <c r="J19">
        <v>3</v>
      </c>
      <c r="M19">
        <v>2</v>
      </c>
      <c r="N19">
        <v>0</v>
      </c>
      <c r="T19">
        <v>0</v>
      </c>
    </row>
    <row r="20" spans="3:27" x14ac:dyDescent="0.2">
      <c r="C20">
        <v>0</v>
      </c>
      <c r="D20">
        <v>3</v>
      </c>
      <c r="E20">
        <v>1</v>
      </c>
      <c r="H20">
        <v>1</v>
      </c>
      <c r="J20">
        <v>0</v>
      </c>
      <c r="M20">
        <v>3</v>
      </c>
      <c r="N20">
        <v>1</v>
      </c>
    </row>
    <row r="21" spans="3:27" ht="16" thickBot="1" x14ac:dyDescent="0.25">
      <c r="C21">
        <v>1</v>
      </c>
      <c r="D21">
        <v>1</v>
      </c>
      <c r="E21">
        <v>2</v>
      </c>
      <c r="H21">
        <v>1</v>
      </c>
      <c r="J21">
        <v>0</v>
      </c>
      <c r="M21">
        <v>0</v>
      </c>
      <c r="N21">
        <v>4</v>
      </c>
    </row>
    <row r="22" spans="3:27" x14ac:dyDescent="0.2">
      <c r="C22">
        <v>0</v>
      </c>
      <c r="D22">
        <v>1</v>
      </c>
      <c r="E22">
        <v>0</v>
      </c>
      <c r="H22">
        <v>3</v>
      </c>
      <c r="J22">
        <v>2</v>
      </c>
      <c r="M22">
        <v>0</v>
      </c>
      <c r="N22">
        <v>1</v>
      </c>
      <c r="W22" s="44" t="s">
        <v>363</v>
      </c>
      <c r="X22" s="45" t="s">
        <v>364</v>
      </c>
      <c r="Y22" s="45" t="s">
        <v>365</v>
      </c>
      <c r="Z22" s="46" t="s">
        <v>366</v>
      </c>
    </row>
    <row r="23" spans="3:27" x14ac:dyDescent="0.2">
      <c r="C23">
        <v>1</v>
      </c>
      <c r="D23">
        <v>0</v>
      </c>
      <c r="J23">
        <v>0</v>
      </c>
      <c r="M23">
        <v>0</v>
      </c>
      <c r="N23">
        <v>2</v>
      </c>
      <c r="W23" s="47" t="s">
        <v>26</v>
      </c>
      <c r="X23" s="43">
        <v>45</v>
      </c>
      <c r="Y23" s="48">
        <f>M4</f>
        <v>51</v>
      </c>
      <c r="Z23" s="49">
        <f t="shared" ref="Z23:Z31" si="9">Y23/X23</f>
        <v>1.1333333333333333</v>
      </c>
      <c r="AA23" s="42"/>
    </row>
    <row r="24" spans="3:27" x14ac:dyDescent="0.2">
      <c r="C24">
        <v>1</v>
      </c>
      <c r="D24">
        <v>2</v>
      </c>
      <c r="M24">
        <v>0</v>
      </c>
      <c r="N24">
        <v>0</v>
      </c>
      <c r="W24" s="47" t="s">
        <v>136</v>
      </c>
      <c r="X24" s="43">
        <v>18</v>
      </c>
      <c r="Y24" s="48">
        <f>N4</f>
        <v>31</v>
      </c>
      <c r="Z24" s="49">
        <f t="shared" si="9"/>
        <v>1.7222222222222223</v>
      </c>
      <c r="AA24" s="42"/>
    </row>
    <row r="25" spans="3:27" x14ac:dyDescent="0.2">
      <c r="C25">
        <v>0</v>
      </c>
      <c r="M25">
        <v>1</v>
      </c>
      <c r="W25" s="47" t="s">
        <v>141</v>
      </c>
      <c r="X25" s="43">
        <v>9</v>
      </c>
      <c r="Y25" s="48">
        <f>O4</f>
        <v>17</v>
      </c>
      <c r="Z25" s="49">
        <f t="shared" si="9"/>
        <v>1.8888888888888888</v>
      </c>
      <c r="AA25" s="42"/>
    </row>
    <row r="26" spans="3:27" x14ac:dyDescent="0.2">
      <c r="C26">
        <v>3</v>
      </c>
      <c r="M26">
        <v>0</v>
      </c>
      <c r="W26" s="47" t="s">
        <v>164</v>
      </c>
      <c r="X26" s="43">
        <v>5</v>
      </c>
      <c r="Y26" s="48">
        <f>P4</f>
        <v>1</v>
      </c>
      <c r="Z26" s="49">
        <f t="shared" si="9"/>
        <v>0.2</v>
      </c>
      <c r="AA26" s="42"/>
    </row>
    <row r="27" spans="3:27" x14ac:dyDescent="0.2">
      <c r="C27">
        <v>0</v>
      </c>
      <c r="M27">
        <v>1</v>
      </c>
      <c r="W27" s="47" t="s">
        <v>177</v>
      </c>
      <c r="X27" s="43">
        <v>4</v>
      </c>
      <c r="Y27" s="48">
        <f>Q4</f>
        <v>7</v>
      </c>
      <c r="Z27" s="49">
        <f t="shared" si="9"/>
        <v>1.75</v>
      </c>
      <c r="AA27" s="42"/>
    </row>
    <row r="28" spans="3:27" x14ac:dyDescent="0.2">
      <c r="M28">
        <v>1</v>
      </c>
      <c r="W28" s="47" t="s">
        <v>229</v>
      </c>
      <c r="X28" s="43">
        <v>12</v>
      </c>
      <c r="Y28" s="48">
        <f>R4</f>
        <v>12</v>
      </c>
      <c r="Z28" s="49">
        <f t="shared" si="9"/>
        <v>1</v>
      </c>
      <c r="AA28" s="42"/>
    </row>
    <row r="29" spans="3:27" x14ac:dyDescent="0.2">
      <c r="M29">
        <v>0</v>
      </c>
      <c r="W29" s="47" t="s">
        <v>262</v>
      </c>
      <c r="X29" s="43">
        <v>9</v>
      </c>
      <c r="Y29" s="48">
        <f>S4</f>
        <v>16</v>
      </c>
      <c r="Z29" s="49">
        <f t="shared" si="9"/>
        <v>1.7777777777777777</v>
      </c>
      <c r="AA29" s="42"/>
    </row>
    <row r="30" spans="3:27" x14ac:dyDescent="0.2">
      <c r="M30">
        <v>3</v>
      </c>
      <c r="W30" s="47" t="s">
        <v>289</v>
      </c>
      <c r="X30" s="43">
        <v>13</v>
      </c>
      <c r="Y30" s="48">
        <f>T4</f>
        <v>11</v>
      </c>
      <c r="Z30" s="49">
        <f t="shared" si="9"/>
        <v>0.84615384615384615</v>
      </c>
      <c r="AA30" s="42"/>
    </row>
    <row r="31" spans="3:27" ht="16" thickBot="1" x14ac:dyDescent="0.25">
      <c r="M31">
        <v>0</v>
      </c>
      <c r="W31" s="50" t="s">
        <v>303</v>
      </c>
      <c r="X31" s="51">
        <v>11</v>
      </c>
      <c r="Y31" s="52">
        <f>U4</f>
        <v>8</v>
      </c>
      <c r="Z31" s="53">
        <f t="shared" si="9"/>
        <v>0.72727272727272729</v>
      </c>
      <c r="AA31" s="42"/>
    </row>
    <row r="32" spans="3:27" x14ac:dyDescent="0.2">
      <c r="M32">
        <v>0</v>
      </c>
    </row>
    <row r="33" spans="13:13" x14ac:dyDescent="0.2">
      <c r="M33">
        <v>1</v>
      </c>
    </row>
    <row r="34" spans="13:13" x14ac:dyDescent="0.2">
      <c r="M34">
        <v>5</v>
      </c>
    </row>
    <row r="35" spans="13:13" x14ac:dyDescent="0.2">
      <c r="M35">
        <v>0</v>
      </c>
    </row>
    <row r="36" spans="13:13" x14ac:dyDescent="0.2">
      <c r="M36">
        <v>0</v>
      </c>
    </row>
    <row r="37" spans="13:13" x14ac:dyDescent="0.2">
      <c r="M37">
        <v>0</v>
      </c>
    </row>
    <row r="38" spans="13:13" x14ac:dyDescent="0.2">
      <c r="M38">
        <v>1</v>
      </c>
    </row>
    <row r="39" spans="13:13" x14ac:dyDescent="0.2">
      <c r="M39">
        <v>0</v>
      </c>
    </row>
    <row r="40" spans="13:13" x14ac:dyDescent="0.2">
      <c r="M40">
        <v>0</v>
      </c>
    </row>
    <row r="41" spans="13:13" x14ac:dyDescent="0.2">
      <c r="M41">
        <v>0</v>
      </c>
    </row>
    <row r="42" spans="13:13" x14ac:dyDescent="0.2">
      <c r="M42">
        <v>1</v>
      </c>
    </row>
    <row r="43" spans="13:13" x14ac:dyDescent="0.2">
      <c r="M43">
        <v>0</v>
      </c>
    </row>
    <row r="44" spans="13:13" x14ac:dyDescent="0.2">
      <c r="M44">
        <v>2</v>
      </c>
    </row>
    <row r="45" spans="13:13" x14ac:dyDescent="0.2">
      <c r="M45">
        <v>0</v>
      </c>
    </row>
    <row r="46" spans="13:13" x14ac:dyDescent="0.2">
      <c r="M46">
        <v>0</v>
      </c>
    </row>
    <row r="47" spans="13:13" x14ac:dyDescent="0.2">
      <c r="M47">
        <v>3</v>
      </c>
    </row>
    <row r="48" spans="13:13" x14ac:dyDescent="0.2">
      <c r="M48">
        <v>1</v>
      </c>
    </row>
    <row r="49" spans="13:13" x14ac:dyDescent="0.2">
      <c r="M49">
        <v>1</v>
      </c>
    </row>
    <row r="50" spans="13:13" x14ac:dyDescent="0.2">
      <c r="M50">
        <v>0</v>
      </c>
    </row>
    <row r="51" spans="13:13" x14ac:dyDescent="0.2">
      <c r="M51">
        <v>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4BC13-FBFE-4BD2-88B1-CBE50CBE5B4B}">
  <dimension ref="A1:AZ48"/>
  <sheetViews>
    <sheetView zoomScale="115" zoomScaleNormal="115" workbookViewId="0">
      <selection activeCell="M17" sqref="M17"/>
    </sheetView>
  </sheetViews>
  <sheetFormatPr baseColWidth="10" defaultColWidth="8.6640625" defaultRowHeight="15" x14ac:dyDescent="0.2"/>
  <cols>
    <col min="1" max="1" width="13.33203125" bestFit="1" customWidth="1"/>
    <col min="7" max="7" width="12.6640625" customWidth="1"/>
    <col min="20" max="20" width="23.83203125" bestFit="1" customWidth="1"/>
    <col min="30" max="30" width="16.33203125" customWidth="1"/>
  </cols>
  <sheetData>
    <row r="1" spans="1:52" x14ac:dyDescent="0.2">
      <c r="B1" s="1" t="s">
        <v>24</v>
      </c>
      <c r="C1" s="1" t="s">
        <v>29</v>
      </c>
      <c r="D1" s="1" t="s">
        <v>39</v>
      </c>
      <c r="E1" s="1" t="s">
        <v>72</v>
      </c>
      <c r="F1" s="1" t="s">
        <v>78</v>
      </c>
      <c r="G1" s="1" t="s">
        <v>367</v>
      </c>
      <c r="T1" t="str" cm="1">
        <f t="array" ref="T1:AZ1">TRANSPOSE(_xlfn.UNIQUE(_xlfn._xlws.FILTER(Data!G:G, Data!G:G&lt;&gt;"")))</f>
        <v>What is produced spesific</v>
      </c>
      <c r="U1" s="1" t="str">
        <v>Gress</v>
      </c>
      <c r="V1" s="1" t="str">
        <v>Geit</v>
      </c>
      <c r="W1" s="1" t="str">
        <v>Sau</v>
      </c>
      <c r="X1" s="1" t="str">
        <v>Bygg</v>
      </c>
      <c r="Y1" s="1" t="str">
        <v>Korn</v>
      </c>
      <c r="Z1" s="1" t="str">
        <v>Tobakk</v>
      </c>
      <c r="AA1" s="1" t="str">
        <v>Frimark</v>
      </c>
      <c r="AB1" s="1" t="str">
        <v>Ku</v>
      </c>
      <c r="AC1" s="1" t="str">
        <v>Potet</v>
      </c>
      <c r="AD1" s="1" t="str">
        <v>Gress (poteter for 4 år siden)</v>
      </c>
      <c r="AE1" s="1" t="str">
        <v>Bringebær</v>
      </c>
      <c r="AF1" s="1" t="str">
        <v>Jordbær</v>
      </c>
      <c r="AG1" s="1" t="str">
        <v>Havre</v>
      </c>
      <c r="AH1" s="1" t="str">
        <v>Pose med jord</v>
      </c>
      <c r="AI1" s="1" t="str">
        <v>Jord fra planter man kan kjøpe: Eple, Rabarbara, Hageblåbær, Bringebær, Rips, Kruspersille, Citronmelisse, Timian, Rosmarin, Snack Paprika, Rød Chili, Cherry tomat, cocktailtomat</v>
      </c>
      <c r="AJ1" s="1" t="str">
        <v>Gress på myr</v>
      </c>
      <c r="AK1" s="1" t="str">
        <v>Hest</v>
      </c>
      <c r="AL1" s="1" t="str">
        <v>Skogsjord</v>
      </c>
      <c r="AM1" s="1" t="str">
        <v>Gress med deponi</v>
      </c>
      <c r="AN1" s="1" t="str">
        <v>Gris</v>
      </c>
      <c r="AO1" s="1" t="str">
        <v>Grønn Vekst Hagemix</v>
      </c>
      <c r="AP1" s="1" t="str">
        <v>Lagring av Høyballer</v>
      </c>
      <c r="AQ1" s="1" t="str">
        <v>Hvete</v>
      </c>
      <c r="AR1" s="1" t="str">
        <v>Kål</v>
      </c>
      <c r="AS1" s="1" t="str">
        <v>Brokolini</v>
      </c>
      <c r="AT1" s="1" t="str">
        <v>Gulrot</v>
      </c>
      <c r="AU1" s="1" t="str">
        <v>Pære</v>
      </c>
      <c r="AV1" s="1" t="str">
        <v>Allerede høsta potet</v>
      </c>
      <c r="AW1" s="1" t="str">
        <v>Many things, noncommercial</v>
      </c>
      <c r="AX1" s="1" t="str">
        <v>Sau, Ku</v>
      </c>
      <c r="AY1" s="1" t="str">
        <v>Eple</v>
      </c>
      <c r="AZ1" s="1" t="str">
        <v>Alpakka</v>
      </c>
    </row>
    <row r="2" spans="1:52" x14ac:dyDescent="0.2">
      <c r="A2" s="22" t="s">
        <v>357</v>
      </c>
      <c r="B2" s="25">
        <f>SUM(_xlfn.ANCHORARRAY(B5))</f>
        <v>61</v>
      </c>
      <c r="C2" s="26">
        <f t="shared" ref="C2:F2" si="0">SUM(_xlfn.ANCHORARRAY(C5))</f>
        <v>25</v>
      </c>
      <c r="D2" s="26">
        <f>SUM(_xlfn.ANCHORARRAY(D5))</f>
        <v>47</v>
      </c>
      <c r="E2" s="26">
        <f t="shared" si="0"/>
        <v>10</v>
      </c>
      <c r="F2" s="26">
        <f t="shared" si="0"/>
        <v>7</v>
      </c>
      <c r="G2" s="27">
        <f>SUM(_xlfn.ANCHORARRAY(G5))</f>
        <v>17</v>
      </c>
      <c r="T2" s="22" t="s">
        <v>357</v>
      </c>
      <c r="U2" s="25">
        <f>SUM(_xlfn.ANCHORARRAY(U5))</f>
        <v>56</v>
      </c>
      <c r="V2" s="26">
        <f>SUM(_xlfn.ANCHORARRAY(V5))</f>
        <v>1</v>
      </c>
      <c r="W2" s="26">
        <f>SUM(_xlfn.ANCHORARRAY(W5))</f>
        <v>7</v>
      </c>
      <c r="X2" s="26">
        <f>SUM(_xlfn.ANCHORARRAY(X5))</f>
        <v>22</v>
      </c>
      <c r="Y2" s="26">
        <f t="shared" ref="Y2:AY2" si="1">SUM(_xlfn.ANCHORARRAY(Y5))</f>
        <v>4</v>
      </c>
      <c r="Z2" s="26">
        <f t="shared" si="1"/>
        <v>3</v>
      </c>
      <c r="AA2" s="26">
        <f t="shared" si="1"/>
        <v>0</v>
      </c>
      <c r="AB2" s="26">
        <f t="shared" si="1"/>
        <v>11</v>
      </c>
      <c r="AC2" s="26">
        <f t="shared" si="1"/>
        <v>6</v>
      </c>
      <c r="AD2" s="26">
        <f t="shared" si="1"/>
        <v>1</v>
      </c>
      <c r="AE2" s="26">
        <f t="shared" si="1"/>
        <v>4</v>
      </c>
      <c r="AF2" s="26">
        <f t="shared" si="1"/>
        <v>0</v>
      </c>
      <c r="AG2" s="26">
        <f t="shared" si="1"/>
        <v>12</v>
      </c>
      <c r="AH2" s="26">
        <f t="shared" si="1"/>
        <v>13</v>
      </c>
      <c r="AI2" s="26">
        <f t="shared" si="1"/>
        <v>0</v>
      </c>
      <c r="AJ2" s="26">
        <f t="shared" si="1"/>
        <v>0</v>
      </c>
      <c r="AK2" s="26">
        <f t="shared" si="1"/>
        <v>1</v>
      </c>
      <c r="AL2" s="26">
        <f t="shared" si="1"/>
        <v>1</v>
      </c>
      <c r="AM2" s="26">
        <f t="shared" si="1"/>
        <v>3</v>
      </c>
      <c r="AN2" s="26">
        <f t="shared" si="1"/>
        <v>1</v>
      </c>
      <c r="AO2" s="26">
        <f t="shared" si="1"/>
        <v>0</v>
      </c>
      <c r="AP2" s="26">
        <f t="shared" si="1"/>
        <v>1</v>
      </c>
      <c r="AQ2" s="26">
        <f t="shared" si="1"/>
        <v>9</v>
      </c>
      <c r="AR2" s="26">
        <f t="shared" si="1"/>
        <v>2</v>
      </c>
      <c r="AS2" s="26">
        <f t="shared" si="1"/>
        <v>0</v>
      </c>
      <c r="AT2" s="26">
        <f t="shared" si="1"/>
        <v>0</v>
      </c>
      <c r="AU2" s="26">
        <f t="shared" si="1"/>
        <v>2</v>
      </c>
      <c r="AV2" s="26">
        <f t="shared" si="1"/>
        <v>2</v>
      </c>
      <c r="AW2" s="26">
        <f t="shared" si="1"/>
        <v>0</v>
      </c>
      <c r="AX2" s="26">
        <f t="shared" si="1"/>
        <v>1</v>
      </c>
      <c r="AY2" s="26">
        <f t="shared" si="1"/>
        <v>1</v>
      </c>
      <c r="AZ2" s="26">
        <f t="shared" ref="AZ2" si="2">SUM(_xlfn.ANCHORARRAY(AZ5))</f>
        <v>3</v>
      </c>
    </row>
    <row r="3" spans="1:52" x14ac:dyDescent="0.2">
      <c r="A3" s="23" t="s">
        <v>358</v>
      </c>
      <c r="B3" s="28">
        <f t="shared" ref="B3:G3" si="3">AVERAGE(_xlfn.ANCHORARRAY(B5))</f>
        <v>1.3863636363636365</v>
      </c>
      <c r="C3">
        <f t="shared" si="3"/>
        <v>1.1904761904761905</v>
      </c>
      <c r="D3">
        <f t="shared" si="3"/>
        <v>1.236842105263158</v>
      </c>
      <c r="E3">
        <f t="shared" si="3"/>
        <v>0.76923076923076927</v>
      </c>
      <c r="F3">
        <f t="shared" si="3"/>
        <v>1.4</v>
      </c>
      <c r="G3" s="29">
        <f t="shared" si="3"/>
        <v>2.8333333333333335</v>
      </c>
      <c r="T3" s="23" t="s">
        <v>358</v>
      </c>
      <c r="U3" s="28">
        <f>AVERAGE(_xlfn.ANCHORARRAY(U5))</f>
        <v>1.4358974358974359</v>
      </c>
      <c r="V3">
        <f t="shared" ref="V3:Y3" si="4">AVERAGE(_xlfn.ANCHORARRAY(V5))</f>
        <v>1</v>
      </c>
      <c r="W3">
        <f t="shared" si="4"/>
        <v>1.4</v>
      </c>
      <c r="X3">
        <f t="shared" si="4"/>
        <v>0.91666666666666663</v>
      </c>
      <c r="Y3">
        <f t="shared" si="4"/>
        <v>1.3333333333333333</v>
      </c>
      <c r="Z3">
        <f t="shared" ref="Z3:AY3" si="5">AVERAGE(_xlfn.ANCHORARRAY(Z5))</f>
        <v>3</v>
      </c>
      <c r="AA3">
        <f t="shared" si="5"/>
        <v>0</v>
      </c>
      <c r="AB3">
        <f t="shared" si="5"/>
        <v>1.5714285714285714</v>
      </c>
      <c r="AC3">
        <f t="shared" si="5"/>
        <v>0.8571428571428571</v>
      </c>
      <c r="AD3">
        <f t="shared" si="5"/>
        <v>1</v>
      </c>
      <c r="AE3">
        <f t="shared" si="5"/>
        <v>2</v>
      </c>
      <c r="AF3">
        <f t="shared" si="5"/>
        <v>0</v>
      </c>
      <c r="AG3">
        <f t="shared" si="5"/>
        <v>1.7142857142857142</v>
      </c>
      <c r="AH3">
        <f t="shared" si="5"/>
        <v>13</v>
      </c>
      <c r="AI3">
        <f t="shared" si="5"/>
        <v>0</v>
      </c>
      <c r="AJ3">
        <f t="shared" si="5"/>
        <v>0</v>
      </c>
      <c r="AK3">
        <f t="shared" si="5"/>
        <v>0.33333333333333331</v>
      </c>
      <c r="AL3">
        <f t="shared" si="5"/>
        <v>0.5</v>
      </c>
      <c r="AM3">
        <f t="shared" si="5"/>
        <v>3</v>
      </c>
      <c r="AN3">
        <f t="shared" si="5"/>
        <v>1</v>
      </c>
      <c r="AO3">
        <f t="shared" si="5"/>
        <v>0</v>
      </c>
      <c r="AP3">
        <f t="shared" si="5"/>
        <v>1</v>
      </c>
      <c r="AQ3">
        <f t="shared" si="5"/>
        <v>2.25</v>
      </c>
      <c r="AR3">
        <f t="shared" si="5"/>
        <v>2</v>
      </c>
      <c r="AS3">
        <f t="shared" si="5"/>
        <v>0</v>
      </c>
      <c r="AT3">
        <f t="shared" si="5"/>
        <v>0</v>
      </c>
      <c r="AU3">
        <f t="shared" si="5"/>
        <v>2</v>
      </c>
      <c r="AV3">
        <f t="shared" si="5"/>
        <v>2</v>
      </c>
      <c r="AW3">
        <f t="shared" si="5"/>
        <v>0</v>
      </c>
      <c r="AX3">
        <f t="shared" si="5"/>
        <v>1</v>
      </c>
      <c r="AY3">
        <f t="shared" si="5"/>
        <v>1</v>
      </c>
      <c r="AZ3">
        <f t="shared" ref="AZ3" si="6">AVERAGE(_xlfn.ANCHORARRAY(AZ5))</f>
        <v>1</v>
      </c>
    </row>
    <row r="4" spans="1:52" x14ac:dyDescent="0.2">
      <c r="A4" s="24" t="s">
        <v>359</v>
      </c>
      <c r="B4" s="30">
        <f t="shared" ref="B4:F4" si="7">MEDIAN(_xlfn.ANCHORARRAY(B5))</f>
        <v>1</v>
      </c>
      <c r="C4" s="31">
        <f t="shared" si="7"/>
        <v>1</v>
      </c>
      <c r="D4" s="31">
        <f t="shared" si="7"/>
        <v>1</v>
      </c>
      <c r="E4" s="31">
        <f t="shared" si="7"/>
        <v>0</v>
      </c>
      <c r="F4" s="31">
        <f t="shared" si="7"/>
        <v>1</v>
      </c>
      <c r="G4" s="32">
        <f>MEDIAN(_xlfn.ANCHORARRAY(G5))</f>
        <v>0.5</v>
      </c>
      <c r="T4" s="24" t="s">
        <v>359</v>
      </c>
      <c r="U4" s="30">
        <f>MEDIAN(_xlfn.ANCHORARRAY(U5))</f>
        <v>1</v>
      </c>
      <c r="V4" s="31">
        <f>MEDIAN(_xlfn.ANCHORARRAY(V5))</f>
        <v>1</v>
      </c>
      <c r="W4" s="31">
        <f>MEDIAN(_xlfn.ANCHORARRAY(W5))</f>
        <v>1</v>
      </c>
      <c r="X4" s="31">
        <f>MEDIAN(_xlfn.ANCHORARRAY(X5))</f>
        <v>0</v>
      </c>
      <c r="Y4" s="31">
        <f t="shared" ref="Y4:AZ4" si="8">MEDIAN(_xlfn.ANCHORARRAY(Y5))</f>
        <v>2</v>
      </c>
      <c r="Z4" s="31">
        <f t="shared" si="8"/>
        <v>3</v>
      </c>
      <c r="AA4" s="31">
        <f t="shared" si="8"/>
        <v>0</v>
      </c>
      <c r="AB4" s="31">
        <f t="shared" si="8"/>
        <v>1</v>
      </c>
      <c r="AC4" s="31">
        <f t="shared" si="8"/>
        <v>1</v>
      </c>
      <c r="AD4" s="31">
        <f t="shared" si="8"/>
        <v>1</v>
      </c>
      <c r="AE4" s="31">
        <f t="shared" si="8"/>
        <v>2</v>
      </c>
      <c r="AF4" s="31">
        <f t="shared" si="8"/>
        <v>0</v>
      </c>
      <c r="AG4" s="31">
        <f t="shared" si="8"/>
        <v>2</v>
      </c>
      <c r="AH4" s="31">
        <f t="shared" si="8"/>
        <v>13</v>
      </c>
      <c r="AI4" s="31">
        <f t="shared" si="8"/>
        <v>0</v>
      </c>
      <c r="AJ4" s="31">
        <f t="shared" si="8"/>
        <v>0</v>
      </c>
      <c r="AK4" s="31">
        <f t="shared" si="8"/>
        <v>0</v>
      </c>
      <c r="AL4" s="31">
        <f t="shared" si="8"/>
        <v>0.5</v>
      </c>
      <c r="AM4" s="31">
        <f t="shared" si="8"/>
        <v>3</v>
      </c>
      <c r="AN4" s="31">
        <f t="shared" si="8"/>
        <v>1</v>
      </c>
      <c r="AO4" s="31">
        <f t="shared" si="8"/>
        <v>0</v>
      </c>
      <c r="AP4" s="31">
        <f t="shared" si="8"/>
        <v>1</v>
      </c>
      <c r="AQ4" s="31">
        <f t="shared" si="8"/>
        <v>2</v>
      </c>
      <c r="AR4" s="31">
        <f t="shared" si="8"/>
        <v>2</v>
      </c>
      <c r="AS4" s="31">
        <f t="shared" si="8"/>
        <v>0</v>
      </c>
      <c r="AT4" s="31">
        <f t="shared" si="8"/>
        <v>0</v>
      </c>
      <c r="AU4" s="31">
        <f t="shared" si="8"/>
        <v>2</v>
      </c>
      <c r="AV4" s="31">
        <f t="shared" si="8"/>
        <v>2</v>
      </c>
      <c r="AW4" s="31">
        <f t="shared" si="8"/>
        <v>0</v>
      </c>
      <c r="AX4" s="31">
        <f t="shared" si="8"/>
        <v>1</v>
      </c>
      <c r="AY4" s="31">
        <f t="shared" si="8"/>
        <v>1</v>
      </c>
      <c r="AZ4" s="31">
        <f t="shared" si="8"/>
        <v>1</v>
      </c>
    </row>
    <row r="5" spans="1:52" x14ac:dyDescent="0.2">
      <c r="B5" cm="1">
        <f t="array" ref="B5:B48">_xlfn._xlws.FILTER(Data!$I:$I,Data!$F:$F=B1)</f>
        <v>1</v>
      </c>
      <c r="C5" cm="1">
        <f t="array" ref="C5:C25">_xlfn._xlws.FILTER(Data!$I:$I,Data!$F:$F=C1)</f>
        <v>1</v>
      </c>
      <c r="D5" cm="1">
        <f t="array" ref="D5:D42">_xlfn._xlws.FILTER(Data!$I:$I,Data!$F:$F=D1)</f>
        <v>5</v>
      </c>
      <c r="E5" cm="1">
        <f t="array" ref="E5:E17">_xlfn._xlws.FILTER(Data!$I:$I,Data!$F:$F=E1)</f>
        <v>0</v>
      </c>
      <c r="F5" cm="1">
        <f t="array" ref="F5:F9">_xlfn._xlws.FILTER(Data!$I:$I,Data!$F:$F=F1)</f>
        <v>1</v>
      </c>
      <c r="G5" cm="1">
        <f t="array" ref="G5:G10">_xlfn._xlws.FILTER(Data!$I:$I,Data!$F:$F="Other")</f>
        <v>3</v>
      </c>
      <c r="U5" cm="1">
        <f t="array" ref="U5:U43">_xlfn._xlws.FILTER(Data!$I:$I,Data!$G:$G=U1)</f>
        <v>1</v>
      </c>
      <c r="V5" cm="1">
        <f t="array" ref="V5">_xlfn._xlws.FILTER(Data!$I:$I,Data!$G:$G=V1)</f>
        <v>1</v>
      </c>
      <c r="W5" cm="1">
        <f t="array" ref="W5:W9">_xlfn._xlws.FILTER(Data!$I:$I,Data!$G:$G=W1)</f>
        <v>3</v>
      </c>
      <c r="X5" cm="1">
        <f t="array" ref="X5:X28">_xlfn._xlws.FILTER(Data!$I:$I,Data!$G:$G=X1)</f>
        <v>5</v>
      </c>
      <c r="Y5" cm="1">
        <f t="array" ref="Y5:Y7">_xlfn._xlws.FILTER(Data!$I:$I,Data!$G:$G=Y1)</f>
        <v>2</v>
      </c>
      <c r="Z5" cm="1">
        <f t="array" ref="Z5">_xlfn._xlws.FILTER(Data!$I:$I,Data!$G:$G=Z1)</f>
        <v>3</v>
      </c>
      <c r="AA5" cm="1">
        <f t="array" ref="AA5">_xlfn._xlws.FILTER(Data!$I:$I,Data!$G:$G=AA1)</f>
        <v>0</v>
      </c>
      <c r="AB5" cm="1">
        <f t="array" ref="AB5:AB11">_xlfn._xlws.FILTER(Data!$I:$I,Data!$G:$G=AB1)</f>
        <v>1</v>
      </c>
      <c r="AC5" cm="1">
        <f t="array" ref="AC5:AC11">_xlfn._xlws.FILTER(Data!$I:$I,Data!$G:$G=AC1)</f>
        <v>0</v>
      </c>
      <c r="AD5" cm="1">
        <f t="array" ref="AD5">_xlfn._xlws.FILTER(Data!$I:$I,Data!$G:$G=AD1)</f>
        <v>1</v>
      </c>
      <c r="AE5" cm="1">
        <f t="array" ref="AE5:AE6">_xlfn._xlws.FILTER(Data!$I:$I,Data!$G:$G=AE1)</f>
        <v>1</v>
      </c>
      <c r="AF5" cm="1">
        <f t="array" ref="AF5">_xlfn._xlws.FILTER(Data!$I:$I,Data!$G:$G=AF1)</f>
        <v>0</v>
      </c>
      <c r="AG5" cm="1">
        <f t="array" ref="AG5:AG11">_xlfn._xlws.FILTER(Data!$I:$I,Data!$G:$G=AG1)</f>
        <v>3</v>
      </c>
      <c r="AH5" cm="1">
        <f t="array" ref="AH5">_xlfn._xlws.FILTER(Data!$I:$I,Data!$G:$G=AH1)</f>
        <v>13</v>
      </c>
      <c r="AI5" cm="1">
        <f t="array" ref="AI5">_xlfn._xlws.FILTER(Data!$I:$I,Data!$G:$G=AI1)</f>
        <v>0</v>
      </c>
      <c r="AJ5" cm="1">
        <f t="array" ref="AJ5">_xlfn._xlws.FILTER(Data!$I:$I,Data!$G:$G=AJ1)</f>
        <v>0</v>
      </c>
      <c r="AK5" cm="1">
        <f t="array" ref="AK5:AK7">_xlfn._xlws.FILTER(Data!$I:$I,Data!$G:$G=AK1)</f>
        <v>0</v>
      </c>
      <c r="AL5" cm="1">
        <f t="array" ref="AL5:AL6">_xlfn._xlws.FILTER(Data!$I:$I,Data!$G:$G=AL1)</f>
        <v>0</v>
      </c>
      <c r="AM5" cm="1">
        <f t="array" ref="AM5">_xlfn._xlws.FILTER(Data!$I:$I,Data!$G:$G=AM1)</f>
        <v>3</v>
      </c>
      <c r="AN5" cm="1">
        <f t="array" ref="AN5">_xlfn._xlws.FILTER(Data!$I:$I,Data!$G:$G=AN1)</f>
        <v>1</v>
      </c>
      <c r="AO5" cm="1">
        <f t="array" ref="AO5">_xlfn._xlws.FILTER(Data!$I:$I,Data!$G:$G=AO1)</f>
        <v>0</v>
      </c>
      <c r="AP5" cm="1">
        <f t="array" ref="AP5">_xlfn._xlws.FILTER(Data!$I:$I,Data!$G:$G=AP1)</f>
        <v>1</v>
      </c>
      <c r="AQ5" cm="1">
        <f t="array" ref="AQ5:AQ8">_xlfn._xlws.FILTER(Data!$I:$I,Data!$G:$G=AQ1)</f>
        <v>2</v>
      </c>
      <c r="AR5" cm="1">
        <f t="array" ref="AR5">_xlfn._xlws.FILTER(Data!$I:$I,Data!$G:$G=AR1)</f>
        <v>2</v>
      </c>
      <c r="AS5" cm="1">
        <f t="array" ref="AS5">_xlfn._xlws.FILTER(Data!$I:$I,Data!$G:$G=AS1)</f>
        <v>0</v>
      </c>
      <c r="AT5" cm="1">
        <f t="array" ref="AT5:AT6">_xlfn._xlws.FILTER(Data!$I:$I,Data!$G:$G=AT1)</f>
        <v>0</v>
      </c>
      <c r="AU5" cm="1">
        <f t="array" ref="AU5">_xlfn._xlws.FILTER(Data!$I:$I,Data!$G:$G=AU1)</f>
        <v>2</v>
      </c>
      <c r="AV5" cm="1">
        <f t="array" ref="AV5">_xlfn._xlws.FILTER(Data!$I:$I,Data!$G:$G=AV1)</f>
        <v>2</v>
      </c>
      <c r="AW5" cm="1">
        <f t="array" ref="AW5">_xlfn._xlws.FILTER(Data!$I:$I,Data!$G:$G=AW1)</f>
        <v>0</v>
      </c>
      <c r="AX5" cm="1">
        <f t="array" ref="AX5">_xlfn._xlws.FILTER(Data!$I:$I,Data!$G:$G=AX1)</f>
        <v>1</v>
      </c>
      <c r="AY5" cm="1">
        <f t="array" ref="AY5">_xlfn._xlws.FILTER(Data!$I:$I,Data!$G:$G=AY1)</f>
        <v>1</v>
      </c>
      <c r="AZ5" cm="1">
        <f t="array" ref="AZ5:AZ7">_xlfn._xlws.FILTER(Data!$I:$I,Data!$G:$G=AZ1)</f>
        <v>2</v>
      </c>
    </row>
    <row r="6" spans="1:52" x14ac:dyDescent="0.2">
      <c r="B6">
        <v>3</v>
      </c>
      <c r="C6">
        <v>3</v>
      </c>
      <c r="D6">
        <v>3</v>
      </c>
      <c r="E6">
        <v>0</v>
      </c>
      <c r="F6">
        <v>0</v>
      </c>
      <c r="G6">
        <v>0</v>
      </c>
      <c r="U6">
        <v>3</v>
      </c>
      <c r="W6">
        <v>0</v>
      </c>
      <c r="X6">
        <v>3</v>
      </c>
      <c r="Y6">
        <v>0</v>
      </c>
      <c r="AB6">
        <v>1</v>
      </c>
      <c r="AC6">
        <v>0</v>
      </c>
      <c r="AE6">
        <v>3</v>
      </c>
      <c r="AG6">
        <v>3</v>
      </c>
      <c r="AK6">
        <v>0</v>
      </c>
      <c r="AL6">
        <v>1</v>
      </c>
      <c r="AQ6">
        <v>3</v>
      </c>
      <c r="AT6">
        <v>0</v>
      </c>
      <c r="AZ6">
        <v>0</v>
      </c>
    </row>
    <row r="7" spans="1:52" x14ac:dyDescent="0.2">
      <c r="B7">
        <v>2</v>
      </c>
      <c r="C7">
        <v>1</v>
      </c>
      <c r="D7">
        <v>2</v>
      </c>
      <c r="E7">
        <v>0</v>
      </c>
      <c r="F7">
        <v>2</v>
      </c>
      <c r="G7">
        <v>13</v>
      </c>
      <c r="U7">
        <v>2</v>
      </c>
      <c r="W7">
        <v>0</v>
      </c>
      <c r="X7">
        <v>2</v>
      </c>
      <c r="Y7">
        <v>2</v>
      </c>
      <c r="AB7">
        <v>1</v>
      </c>
      <c r="AC7">
        <v>0</v>
      </c>
      <c r="AG7">
        <v>2</v>
      </c>
      <c r="AK7">
        <v>1</v>
      </c>
      <c r="AQ7">
        <v>2</v>
      </c>
      <c r="AZ7">
        <v>1</v>
      </c>
    </row>
    <row r="8" spans="1:52" x14ac:dyDescent="0.2">
      <c r="B8">
        <v>0</v>
      </c>
      <c r="C8">
        <v>0</v>
      </c>
      <c r="D8">
        <v>2</v>
      </c>
      <c r="E8">
        <v>2</v>
      </c>
      <c r="F8">
        <v>1</v>
      </c>
      <c r="G8">
        <v>0</v>
      </c>
      <c r="U8">
        <v>0</v>
      </c>
      <c r="W8">
        <v>1</v>
      </c>
      <c r="X8">
        <v>0</v>
      </c>
      <c r="AB8">
        <v>2</v>
      </c>
      <c r="AC8">
        <v>1</v>
      </c>
      <c r="AG8">
        <v>0</v>
      </c>
      <c r="AQ8">
        <v>2</v>
      </c>
    </row>
    <row r="9" spans="1:52" x14ac:dyDescent="0.2">
      <c r="B9">
        <v>2</v>
      </c>
      <c r="C9">
        <v>0</v>
      </c>
      <c r="D9">
        <v>0</v>
      </c>
      <c r="E9">
        <v>0</v>
      </c>
      <c r="F9">
        <v>3</v>
      </c>
      <c r="G9">
        <v>0</v>
      </c>
      <c r="U9">
        <v>2</v>
      </c>
      <c r="W9">
        <v>3</v>
      </c>
      <c r="X9">
        <v>0</v>
      </c>
      <c r="AB9">
        <v>1</v>
      </c>
      <c r="AC9">
        <v>1</v>
      </c>
      <c r="AG9">
        <v>3</v>
      </c>
    </row>
    <row r="10" spans="1:52" x14ac:dyDescent="0.2">
      <c r="B10">
        <v>0</v>
      </c>
      <c r="C10">
        <v>1</v>
      </c>
      <c r="D10">
        <v>0</v>
      </c>
      <c r="E10">
        <v>0</v>
      </c>
      <c r="G10">
        <v>1</v>
      </c>
      <c r="U10">
        <v>0</v>
      </c>
      <c r="X10">
        <v>0</v>
      </c>
      <c r="AB10">
        <v>4</v>
      </c>
      <c r="AC10">
        <v>2</v>
      </c>
      <c r="AG10">
        <v>1</v>
      </c>
    </row>
    <row r="11" spans="1:52" x14ac:dyDescent="0.2">
      <c r="B11">
        <v>1</v>
      </c>
      <c r="C11">
        <v>0</v>
      </c>
      <c r="D11">
        <v>0</v>
      </c>
      <c r="E11">
        <v>1</v>
      </c>
      <c r="U11">
        <v>1</v>
      </c>
      <c r="X11">
        <v>0</v>
      </c>
      <c r="AB11">
        <v>1</v>
      </c>
      <c r="AC11">
        <v>2</v>
      </c>
      <c r="AG11">
        <v>0</v>
      </c>
    </row>
    <row r="12" spans="1:52" x14ac:dyDescent="0.2">
      <c r="B12">
        <v>1</v>
      </c>
      <c r="C12">
        <v>1</v>
      </c>
      <c r="D12">
        <v>3</v>
      </c>
      <c r="E12">
        <v>0</v>
      </c>
      <c r="U12">
        <v>0</v>
      </c>
      <c r="X12">
        <v>0</v>
      </c>
    </row>
    <row r="13" spans="1:52" x14ac:dyDescent="0.2">
      <c r="B13">
        <v>0</v>
      </c>
      <c r="C13">
        <v>1</v>
      </c>
      <c r="D13">
        <v>0</v>
      </c>
      <c r="E13">
        <v>1</v>
      </c>
      <c r="U13">
        <v>1</v>
      </c>
      <c r="X13">
        <v>1</v>
      </c>
    </row>
    <row r="14" spans="1:52" x14ac:dyDescent="0.2">
      <c r="B14">
        <v>1</v>
      </c>
      <c r="C14">
        <v>2</v>
      </c>
      <c r="D14">
        <v>0</v>
      </c>
      <c r="E14">
        <v>2</v>
      </c>
      <c r="U14">
        <v>5</v>
      </c>
      <c r="X14">
        <v>2</v>
      </c>
    </row>
    <row r="15" spans="1:52" x14ac:dyDescent="0.2">
      <c r="B15">
        <v>5</v>
      </c>
      <c r="C15">
        <v>1</v>
      </c>
      <c r="D15">
        <v>0</v>
      </c>
      <c r="E15">
        <v>2</v>
      </c>
      <c r="U15">
        <v>0</v>
      </c>
      <c r="X15">
        <v>0</v>
      </c>
    </row>
    <row r="16" spans="1:52" x14ac:dyDescent="0.2">
      <c r="B16">
        <v>0</v>
      </c>
      <c r="C16">
        <v>4</v>
      </c>
      <c r="D16">
        <v>1</v>
      </c>
      <c r="E16">
        <v>2</v>
      </c>
      <c r="U16">
        <v>1</v>
      </c>
      <c r="X16">
        <v>0</v>
      </c>
    </row>
    <row r="17" spans="2:24" x14ac:dyDescent="0.2">
      <c r="B17">
        <v>0</v>
      </c>
      <c r="C17">
        <v>1</v>
      </c>
      <c r="D17">
        <v>2</v>
      </c>
      <c r="E17">
        <v>0</v>
      </c>
      <c r="U17">
        <v>5</v>
      </c>
      <c r="X17">
        <v>2</v>
      </c>
    </row>
    <row r="18" spans="2:24" x14ac:dyDescent="0.2">
      <c r="B18">
        <v>0</v>
      </c>
      <c r="C18">
        <v>1</v>
      </c>
      <c r="D18">
        <v>0</v>
      </c>
      <c r="U18">
        <v>1</v>
      </c>
      <c r="X18">
        <v>0</v>
      </c>
    </row>
    <row r="19" spans="2:24" x14ac:dyDescent="0.2">
      <c r="B19">
        <v>1</v>
      </c>
      <c r="C19">
        <v>1</v>
      </c>
      <c r="D19">
        <v>0</v>
      </c>
      <c r="U19">
        <v>1</v>
      </c>
      <c r="X19">
        <v>0</v>
      </c>
    </row>
    <row r="20" spans="2:24" x14ac:dyDescent="0.2">
      <c r="B20">
        <v>3</v>
      </c>
      <c r="C20">
        <v>0</v>
      </c>
      <c r="D20">
        <v>2</v>
      </c>
      <c r="U20">
        <v>1</v>
      </c>
      <c r="X20">
        <v>1</v>
      </c>
    </row>
    <row r="21" spans="2:24" x14ac:dyDescent="0.2">
      <c r="B21">
        <v>1</v>
      </c>
      <c r="C21">
        <v>1</v>
      </c>
      <c r="D21">
        <v>0</v>
      </c>
      <c r="U21">
        <v>1</v>
      </c>
      <c r="X21">
        <v>3</v>
      </c>
    </row>
    <row r="22" spans="2:24" x14ac:dyDescent="0.2">
      <c r="B22">
        <v>5</v>
      </c>
      <c r="C22">
        <v>3</v>
      </c>
      <c r="D22">
        <v>0</v>
      </c>
      <c r="U22">
        <v>1</v>
      </c>
      <c r="X22">
        <v>1</v>
      </c>
    </row>
    <row r="23" spans="2:24" x14ac:dyDescent="0.2">
      <c r="B23">
        <v>1</v>
      </c>
      <c r="C23">
        <v>2</v>
      </c>
      <c r="D23">
        <v>2</v>
      </c>
      <c r="U23">
        <v>3</v>
      </c>
      <c r="X23">
        <v>0</v>
      </c>
    </row>
    <row r="24" spans="2:24" x14ac:dyDescent="0.2">
      <c r="B24">
        <v>1</v>
      </c>
      <c r="C24">
        <v>0</v>
      </c>
      <c r="D24">
        <v>3</v>
      </c>
      <c r="U24">
        <v>1</v>
      </c>
      <c r="X24">
        <v>0</v>
      </c>
    </row>
    <row r="25" spans="2:24" x14ac:dyDescent="0.2">
      <c r="B25">
        <v>1</v>
      </c>
      <c r="C25">
        <v>1</v>
      </c>
      <c r="D25">
        <v>1</v>
      </c>
      <c r="U25">
        <v>4</v>
      </c>
      <c r="X25">
        <v>0</v>
      </c>
    </row>
    <row r="26" spans="2:24" x14ac:dyDescent="0.2">
      <c r="B26">
        <v>1</v>
      </c>
      <c r="D26">
        <v>2</v>
      </c>
      <c r="U26">
        <v>1</v>
      </c>
      <c r="X26">
        <v>1</v>
      </c>
    </row>
    <row r="27" spans="2:24" x14ac:dyDescent="0.2">
      <c r="B27">
        <v>1</v>
      </c>
      <c r="D27">
        <v>3</v>
      </c>
      <c r="U27">
        <v>4</v>
      </c>
      <c r="X27">
        <v>1</v>
      </c>
    </row>
    <row r="28" spans="2:24" x14ac:dyDescent="0.2">
      <c r="B28">
        <v>3</v>
      </c>
      <c r="D28">
        <v>1</v>
      </c>
      <c r="U28">
        <v>2</v>
      </c>
      <c r="X28">
        <v>0</v>
      </c>
    </row>
    <row r="29" spans="2:24" x14ac:dyDescent="0.2">
      <c r="B29">
        <v>1</v>
      </c>
      <c r="D29">
        <v>2</v>
      </c>
      <c r="U29">
        <v>1</v>
      </c>
    </row>
    <row r="30" spans="2:24" x14ac:dyDescent="0.2">
      <c r="B30">
        <v>4</v>
      </c>
      <c r="D30">
        <v>0</v>
      </c>
      <c r="U30">
        <v>0</v>
      </c>
    </row>
    <row r="31" spans="2:24" x14ac:dyDescent="0.2">
      <c r="B31">
        <v>1</v>
      </c>
      <c r="D31">
        <v>3</v>
      </c>
      <c r="U31">
        <v>4</v>
      </c>
    </row>
    <row r="32" spans="2:24" x14ac:dyDescent="0.2">
      <c r="B32">
        <v>4</v>
      </c>
      <c r="D32">
        <v>2</v>
      </c>
      <c r="U32">
        <v>1</v>
      </c>
    </row>
    <row r="33" spans="2:21" x14ac:dyDescent="0.2">
      <c r="B33">
        <v>2</v>
      </c>
      <c r="D33">
        <v>2</v>
      </c>
      <c r="U33">
        <v>3</v>
      </c>
    </row>
    <row r="34" spans="2:21" x14ac:dyDescent="0.2">
      <c r="B34">
        <v>1</v>
      </c>
      <c r="D34">
        <v>0</v>
      </c>
      <c r="U34">
        <v>0</v>
      </c>
    </row>
    <row r="35" spans="2:21" x14ac:dyDescent="0.2">
      <c r="B35">
        <v>0</v>
      </c>
      <c r="D35">
        <v>0</v>
      </c>
      <c r="U35">
        <v>0</v>
      </c>
    </row>
    <row r="36" spans="2:21" x14ac:dyDescent="0.2">
      <c r="B36">
        <v>4</v>
      </c>
      <c r="D36">
        <v>0</v>
      </c>
      <c r="U36">
        <v>1</v>
      </c>
    </row>
    <row r="37" spans="2:21" x14ac:dyDescent="0.2">
      <c r="B37">
        <v>1</v>
      </c>
      <c r="D37">
        <v>1</v>
      </c>
      <c r="U37">
        <v>0</v>
      </c>
    </row>
    <row r="38" spans="2:21" x14ac:dyDescent="0.2">
      <c r="B38">
        <v>3</v>
      </c>
      <c r="D38">
        <v>3</v>
      </c>
      <c r="U38">
        <v>0</v>
      </c>
    </row>
    <row r="39" spans="2:21" x14ac:dyDescent="0.2">
      <c r="B39">
        <v>0</v>
      </c>
      <c r="D39">
        <v>1</v>
      </c>
      <c r="U39">
        <v>0</v>
      </c>
    </row>
    <row r="40" spans="2:21" x14ac:dyDescent="0.2">
      <c r="B40">
        <v>0</v>
      </c>
      <c r="D40">
        <v>1</v>
      </c>
      <c r="U40">
        <v>0</v>
      </c>
    </row>
    <row r="41" spans="2:21" x14ac:dyDescent="0.2">
      <c r="B41">
        <v>1</v>
      </c>
      <c r="D41">
        <v>0</v>
      </c>
      <c r="U41">
        <v>3</v>
      </c>
    </row>
    <row r="42" spans="2:21" x14ac:dyDescent="0.2">
      <c r="B42">
        <v>0</v>
      </c>
      <c r="D42">
        <v>0</v>
      </c>
      <c r="U42">
        <v>0</v>
      </c>
    </row>
    <row r="43" spans="2:21" x14ac:dyDescent="0.2">
      <c r="B43">
        <v>0</v>
      </c>
      <c r="U43">
        <v>2</v>
      </c>
    </row>
    <row r="44" spans="2:21" x14ac:dyDescent="0.2">
      <c r="B44">
        <v>0</v>
      </c>
    </row>
    <row r="45" spans="2:21" x14ac:dyDescent="0.2">
      <c r="B45">
        <v>0</v>
      </c>
    </row>
    <row r="46" spans="2:21" x14ac:dyDescent="0.2">
      <c r="B46">
        <v>3</v>
      </c>
    </row>
    <row r="47" spans="2:21" x14ac:dyDescent="0.2">
      <c r="B47">
        <v>0</v>
      </c>
    </row>
    <row r="48" spans="2:21" x14ac:dyDescent="0.2">
      <c r="B48">
        <v>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B0E54-3886-43FE-AFE3-F4E6A936DEA1}">
  <dimension ref="A1:G48"/>
  <sheetViews>
    <sheetView workbookViewId="0">
      <selection activeCell="I26" sqref="I26"/>
    </sheetView>
  </sheetViews>
  <sheetFormatPr baseColWidth="10" defaultColWidth="8.6640625" defaultRowHeight="15" x14ac:dyDescent="0.2"/>
  <sheetData>
    <row r="1" spans="1:7" x14ac:dyDescent="0.2">
      <c r="B1" t="s">
        <v>24</v>
      </c>
      <c r="C1" t="s">
        <v>29</v>
      </c>
      <c r="D1" t="s">
        <v>39</v>
      </c>
      <c r="E1" t="s">
        <v>72</v>
      </c>
      <c r="F1" t="s">
        <v>78</v>
      </c>
      <c r="G1" t="s">
        <v>367</v>
      </c>
    </row>
    <row r="2" spans="1:7" x14ac:dyDescent="0.2">
      <c r="A2" t="s">
        <v>357</v>
      </c>
      <c r="B2">
        <v>61</v>
      </c>
      <c r="C2">
        <v>25</v>
      </c>
      <c r="D2">
        <v>47</v>
      </c>
      <c r="E2">
        <v>10</v>
      </c>
      <c r="F2">
        <v>7</v>
      </c>
      <c r="G2">
        <f>SUM(G5:G9)</f>
        <v>4</v>
      </c>
    </row>
    <row r="3" spans="1:7" x14ac:dyDescent="0.2">
      <c r="A3" t="s">
        <v>358</v>
      </c>
      <c r="B3">
        <v>1.3863636363636365</v>
      </c>
      <c r="C3">
        <v>1.1904761904761905</v>
      </c>
      <c r="D3">
        <v>1.236842105263158</v>
      </c>
      <c r="E3">
        <v>0.76923076923076927</v>
      </c>
      <c r="F3">
        <v>1.4</v>
      </c>
      <c r="G3">
        <f>AVERAGE(G5:G9)</f>
        <v>0.8</v>
      </c>
    </row>
    <row r="4" spans="1:7" x14ac:dyDescent="0.2">
      <c r="A4" t="s">
        <v>359</v>
      </c>
      <c r="B4">
        <v>1</v>
      </c>
      <c r="C4">
        <v>1</v>
      </c>
      <c r="D4">
        <v>1</v>
      </c>
      <c r="E4">
        <v>0</v>
      </c>
      <c r="F4">
        <v>1</v>
      </c>
      <c r="G4">
        <f>MEDIAN(G5:G9)</f>
        <v>0</v>
      </c>
    </row>
    <row r="5" spans="1:7" x14ac:dyDescent="0.2">
      <c r="B5">
        <v>1</v>
      </c>
      <c r="C5">
        <v>1</v>
      </c>
      <c r="D5">
        <v>5</v>
      </c>
      <c r="E5">
        <v>0</v>
      </c>
      <c r="F5">
        <v>1</v>
      </c>
      <c r="G5">
        <v>3</v>
      </c>
    </row>
    <row r="6" spans="1:7" x14ac:dyDescent="0.2">
      <c r="B6">
        <v>3</v>
      </c>
      <c r="C6">
        <v>3</v>
      </c>
      <c r="D6">
        <v>3</v>
      </c>
      <c r="E6">
        <v>0</v>
      </c>
      <c r="F6">
        <v>0</v>
      </c>
      <c r="G6">
        <v>0</v>
      </c>
    </row>
    <row r="7" spans="1:7" x14ac:dyDescent="0.2">
      <c r="B7">
        <v>2</v>
      </c>
      <c r="C7">
        <v>1</v>
      </c>
      <c r="D7">
        <v>2</v>
      </c>
      <c r="E7">
        <v>0</v>
      </c>
      <c r="F7">
        <v>2</v>
      </c>
      <c r="G7">
        <v>0</v>
      </c>
    </row>
    <row r="8" spans="1:7" x14ac:dyDescent="0.2">
      <c r="B8">
        <v>0</v>
      </c>
      <c r="C8">
        <v>0</v>
      </c>
      <c r="D8">
        <v>2</v>
      </c>
      <c r="E8">
        <v>2</v>
      </c>
      <c r="F8">
        <v>1</v>
      </c>
      <c r="G8">
        <v>0</v>
      </c>
    </row>
    <row r="9" spans="1:7" x14ac:dyDescent="0.2">
      <c r="B9">
        <v>2</v>
      </c>
      <c r="C9">
        <v>0</v>
      </c>
      <c r="D9">
        <v>0</v>
      </c>
      <c r="E9">
        <v>0</v>
      </c>
      <c r="F9">
        <v>3</v>
      </c>
      <c r="G9">
        <v>1</v>
      </c>
    </row>
    <row r="10" spans="1:7" x14ac:dyDescent="0.2">
      <c r="B10">
        <v>0</v>
      </c>
      <c r="C10">
        <v>1</v>
      </c>
      <c r="D10">
        <v>0</v>
      </c>
      <c r="E10">
        <v>0</v>
      </c>
    </row>
    <row r="11" spans="1:7" x14ac:dyDescent="0.2">
      <c r="B11">
        <v>1</v>
      </c>
      <c r="C11">
        <v>0</v>
      </c>
      <c r="D11">
        <v>0</v>
      </c>
      <c r="E11">
        <v>1</v>
      </c>
    </row>
    <row r="12" spans="1:7" x14ac:dyDescent="0.2">
      <c r="B12">
        <v>1</v>
      </c>
      <c r="C12">
        <v>1</v>
      </c>
      <c r="D12">
        <v>3</v>
      </c>
      <c r="E12">
        <v>0</v>
      </c>
    </row>
    <row r="13" spans="1:7" x14ac:dyDescent="0.2">
      <c r="B13">
        <v>0</v>
      </c>
      <c r="C13">
        <v>1</v>
      </c>
      <c r="D13">
        <v>0</v>
      </c>
      <c r="E13">
        <v>1</v>
      </c>
    </row>
    <row r="14" spans="1:7" x14ac:dyDescent="0.2">
      <c r="B14">
        <v>1</v>
      </c>
      <c r="C14">
        <v>2</v>
      </c>
      <c r="D14">
        <v>0</v>
      </c>
      <c r="E14">
        <v>2</v>
      </c>
    </row>
    <row r="15" spans="1:7" x14ac:dyDescent="0.2">
      <c r="B15">
        <v>5</v>
      </c>
      <c r="C15">
        <v>1</v>
      </c>
      <c r="D15">
        <v>0</v>
      </c>
      <c r="E15">
        <v>2</v>
      </c>
    </row>
    <row r="16" spans="1:7" x14ac:dyDescent="0.2">
      <c r="B16">
        <v>0</v>
      </c>
      <c r="C16">
        <v>4</v>
      </c>
      <c r="D16">
        <v>1</v>
      </c>
      <c r="E16">
        <v>2</v>
      </c>
    </row>
    <row r="17" spans="2:5" x14ac:dyDescent="0.2">
      <c r="B17">
        <v>0</v>
      </c>
      <c r="C17">
        <v>1</v>
      </c>
      <c r="D17">
        <v>2</v>
      </c>
      <c r="E17">
        <v>0</v>
      </c>
    </row>
    <row r="18" spans="2:5" x14ac:dyDescent="0.2">
      <c r="B18">
        <v>0</v>
      </c>
      <c r="C18">
        <v>1</v>
      </c>
      <c r="D18">
        <v>0</v>
      </c>
    </row>
    <row r="19" spans="2:5" x14ac:dyDescent="0.2">
      <c r="B19">
        <v>1</v>
      </c>
      <c r="C19">
        <v>1</v>
      </c>
      <c r="D19">
        <v>0</v>
      </c>
    </row>
    <row r="20" spans="2:5" x14ac:dyDescent="0.2">
      <c r="B20">
        <v>3</v>
      </c>
      <c r="C20">
        <v>0</v>
      </c>
      <c r="D20">
        <v>2</v>
      </c>
    </row>
    <row r="21" spans="2:5" x14ac:dyDescent="0.2">
      <c r="B21">
        <v>1</v>
      </c>
      <c r="C21">
        <v>1</v>
      </c>
      <c r="D21">
        <v>0</v>
      </c>
    </row>
    <row r="22" spans="2:5" x14ac:dyDescent="0.2">
      <c r="B22">
        <v>5</v>
      </c>
      <c r="C22">
        <v>3</v>
      </c>
      <c r="D22">
        <v>0</v>
      </c>
    </row>
    <row r="23" spans="2:5" x14ac:dyDescent="0.2">
      <c r="B23">
        <v>1</v>
      </c>
      <c r="C23">
        <v>2</v>
      </c>
      <c r="D23">
        <v>2</v>
      </c>
    </row>
    <row r="24" spans="2:5" x14ac:dyDescent="0.2">
      <c r="B24">
        <v>1</v>
      </c>
      <c r="C24">
        <v>0</v>
      </c>
      <c r="D24">
        <v>3</v>
      </c>
    </row>
    <row r="25" spans="2:5" x14ac:dyDescent="0.2">
      <c r="B25">
        <v>1</v>
      </c>
      <c r="C25">
        <v>1</v>
      </c>
      <c r="D25">
        <v>1</v>
      </c>
    </row>
    <row r="26" spans="2:5" x14ac:dyDescent="0.2">
      <c r="B26">
        <v>1</v>
      </c>
      <c r="D26">
        <v>2</v>
      </c>
    </row>
    <row r="27" spans="2:5" x14ac:dyDescent="0.2">
      <c r="B27">
        <v>1</v>
      </c>
      <c r="D27">
        <v>3</v>
      </c>
    </row>
    <row r="28" spans="2:5" x14ac:dyDescent="0.2">
      <c r="B28">
        <v>3</v>
      </c>
      <c r="D28">
        <v>1</v>
      </c>
    </row>
    <row r="29" spans="2:5" x14ac:dyDescent="0.2">
      <c r="B29">
        <v>1</v>
      </c>
      <c r="D29">
        <v>2</v>
      </c>
    </row>
    <row r="30" spans="2:5" x14ac:dyDescent="0.2">
      <c r="B30">
        <v>4</v>
      </c>
      <c r="D30">
        <v>0</v>
      </c>
    </row>
    <row r="31" spans="2:5" x14ac:dyDescent="0.2">
      <c r="B31">
        <v>1</v>
      </c>
      <c r="D31">
        <v>3</v>
      </c>
    </row>
    <row r="32" spans="2:5" x14ac:dyDescent="0.2">
      <c r="B32">
        <v>4</v>
      </c>
      <c r="D32">
        <v>2</v>
      </c>
    </row>
    <row r="33" spans="2:4" x14ac:dyDescent="0.2">
      <c r="B33">
        <v>2</v>
      </c>
      <c r="D33">
        <v>2</v>
      </c>
    </row>
    <row r="34" spans="2:4" x14ac:dyDescent="0.2">
      <c r="B34">
        <v>1</v>
      </c>
      <c r="D34">
        <v>0</v>
      </c>
    </row>
    <row r="35" spans="2:4" x14ac:dyDescent="0.2">
      <c r="B35">
        <v>0</v>
      </c>
      <c r="D35">
        <v>0</v>
      </c>
    </row>
    <row r="36" spans="2:4" x14ac:dyDescent="0.2">
      <c r="B36">
        <v>4</v>
      </c>
      <c r="D36">
        <v>0</v>
      </c>
    </row>
    <row r="37" spans="2:4" x14ac:dyDescent="0.2">
      <c r="B37">
        <v>1</v>
      </c>
      <c r="D37">
        <v>1</v>
      </c>
    </row>
    <row r="38" spans="2:4" x14ac:dyDescent="0.2">
      <c r="B38">
        <v>3</v>
      </c>
      <c r="D38">
        <v>3</v>
      </c>
    </row>
    <row r="39" spans="2:4" x14ac:dyDescent="0.2">
      <c r="B39">
        <v>0</v>
      </c>
      <c r="D39">
        <v>1</v>
      </c>
    </row>
    <row r="40" spans="2:4" x14ac:dyDescent="0.2">
      <c r="B40">
        <v>0</v>
      </c>
      <c r="D40">
        <v>1</v>
      </c>
    </row>
    <row r="41" spans="2:4" x14ac:dyDescent="0.2">
      <c r="B41">
        <v>1</v>
      </c>
      <c r="D41">
        <v>0</v>
      </c>
    </row>
    <row r="42" spans="2:4" x14ac:dyDescent="0.2">
      <c r="B42">
        <v>0</v>
      </c>
      <c r="D42">
        <v>0</v>
      </c>
    </row>
    <row r="43" spans="2:4" x14ac:dyDescent="0.2">
      <c r="B43">
        <v>0</v>
      </c>
    </row>
    <row r="44" spans="2:4" x14ac:dyDescent="0.2">
      <c r="B44">
        <v>0</v>
      </c>
    </row>
    <row r="45" spans="2:4" x14ac:dyDescent="0.2">
      <c r="B45">
        <v>0</v>
      </c>
    </row>
    <row r="46" spans="2:4" x14ac:dyDescent="0.2">
      <c r="B46">
        <v>3</v>
      </c>
    </row>
    <row r="47" spans="2:4" x14ac:dyDescent="0.2">
      <c r="B47">
        <v>0</v>
      </c>
    </row>
    <row r="48" spans="2:4" x14ac:dyDescent="0.2">
      <c r="B48">
        <v>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1673-1C6B-48F3-863C-9401ACAC6315}">
  <dimension ref="A1:AQ10"/>
  <sheetViews>
    <sheetView workbookViewId="0">
      <selection activeCell="G21" sqref="G21"/>
    </sheetView>
  </sheetViews>
  <sheetFormatPr baseColWidth="10" defaultColWidth="8.6640625" defaultRowHeight="15" x14ac:dyDescent="0.2"/>
  <cols>
    <col min="1" max="1" width="12.1640625" bestFit="1" customWidth="1"/>
    <col min="2" max="2" width="13.6640625" bestFit="1" customWidth="1"/>
    <col min="4" max="4" width="13.6640625" bestFit="1" customWidth="1"/>
    <col min="5" max="5" width="11.1640625" bestFit="1" customWidth="1"/>
    <col min="6" max="6" width="19" bestFit="1" customWidth="1"/>
    <col min="7" max="7" width="10.6640625" bestFit="1" customWidth="1"/>
    <col min="8" max="8" width="11.83203125" bestFit="1" customWidth="1"/>
    <col min="9" max="9" width="10.33203125" bestFit="1" customWidth="1"/>
    <col min="10" max="10" width="11.83203125" bestFit="1" customWidth="1"/>
    <col min="11" max="11" width="18.33203125" customWidth="1"/>
    <col min="12" max="12" width="9.6640625" bestFit="1" customWidth="1"/>
    <col min="13" max="13" width="14.33203125" bestFit="1" customWidth="1"/>
    <col min="14" max="14" width="8.6640625" bestFit="1" customWidth="1"/>
    <col min="15" max="15" width="16.6640625" bestFit="1" customWidth="1"/>
    <col min="16" max="16" width="18.1640625" customWidth="1"/>
    <col min="17" max="17" width="12.33203125" bestFit="1" customWidth="1"/>
    <col min="18" max="18" width="10" bestFit="1" customWidth="1"/>
    <col min="19" max="19" width="11.33203125" bestFit="1" customWidth="1"/>
    <col min="21" max="21" width="17.6640625" bestFit="1" customWidth="1"/>
    <col min="22" max="22" width="23.1640625" bestFit="1" customWidth="1"/>
    <col min="23" max="23" width="10.33203125" bestFit="1" customWidth="1"/>
    <col min="24" max="24" width="15.6640625" bestFit="1" customWidth="1"/>
    <col min="25" max="25" width="14.6640625" bestFit="1" customWidth="1"/>
    <col min="26" max="26" width="13.33203125" bestFit="1" customWidth="1"/>
    <col min="27" max="27" width="15.1640625" bestFit="1" customWidth="1"/>
    <col min="28" max="28" width="9.83203125" bestFit="1" customWidth="1"/>
    <col min="29" max="29" width="12.1640625" bestFit="1" customWidth="1"/>
    <col min="30" max="30" width="20.33203125" bestFit="1" customWidth="1"/>
    <col min="31" max="31" width="10.83203125" bestFit="1" customWidth="1"/>
    <col min="33" max="33" width="12.6640625" bestFit="1" customWidth="1"/>
    <col min="34" max="34" width="16.33203125" bestFit="1" customWidth="1"/>
    <col min="35" max="35" width="13.33203125" bestFit="1" customWidth="1"/>
    <col min="36" max="37" width="11.83203125" bestFit="1" customWidth="1"/>
    <col min="38" max="38" width="12.33203125" bestFit="1" customWidth="1"/>
    <col min="39" max="39" width="11.33203125" bestFit="1" customWidth="1"/>
    <col min="40" max="40" width="14.83203125" bestFit="1" customWidth="1"/>
    <col min="41" max="41" width="9.1640625" bestFit="1" customWidth="1"/>
    <col min="42" max="42" width="9.33203125" bestFit="1" customWidth="1"/>
    <col min="43" max="43" width="9.6640625" bestFit="1" customWidth="1"/>
  </cols>
  <sheetData>
    <row r="1" spans="1:43" s="55" customFormat="1" x14ac:dyDescent="0.2">
      <c r="B1" s="56" t="str" cm="1">
        <f t="array" ref="B1:AQ1">TRANSPOSE(_xlfn.UNIQUE(_xlfn._xlws.FILTER(Data!A:A, Data!A:A&lt;&gt;"")))</f>
        <v>Name of Farm</v>
      </c>
      <c r="C1" s="56" t="str">
        <v>Voll Gård</v>
      </c>
      <c r="D1" s="56" t="str">
        <v>Onsøyen Gård</v>
      </c>
      <c r="E1" s="56" t="str">
        <v>Frøset Østre</v>
      </c>
      <c r="F1" s="56" t="str">
        <v>Hangerslettvegen 605</v>
      </c>
      <c r="G1" s="56" t="str">
        <v>Ålberg Gård</v>
      </c>
      <c r="H1" s="56" t="str">
        <v>Snusbonden</v>
      </c>
      <c r="I1" s="56" t="str">
        <v>Lerdal Øvre</v>
      </c>
      <c r="J1" s="56" t="str">
        <v>Kviset Gård</v>
      </c>
      <c r="K1" s="56" t="str">
        <v>Spongdalsvegen 473 (oppland gård)</v>
      </c>
      <c r="L1" s="56" t="str">
        <v>Plantasjen</v>
      </c>
      <c r="M1" s="56" t="str">
        <v>Leander Lysklett</v>
      </c>
      <c r="N1" s="56" t="str">
        <v>Vangsmo</v>
      </c>
      <c r="O1" s="56" t="str">
        <v>Christine Bertelsen</v>
      </c>
      <c r="P1" s="56" t="str">
        <v>Jonettaplassen Gårdsbarnehage</v>
      </c>
      <c r="Q1" s="56" t="str">
        <v>Haugum Gård</v>
      </c>
      <c r="R1" s="56" t="str">
        <v>Stall Nidelv</v>
      </c>
      <c r="S1" s="56" t="str">
        <v>Grønn Vekst</v>
      </c>
      <c r="T1" s="56" t="str">
        <v>Rindalslina 712</v>
      </c>
      <c r="U1" s="56" t="str">
        <v>Halgunsetvegen 117</v>
      </c>
      <c r="V1" s="56" t="str">
        <v>NABO Halgunsetvegen 117</v>
      </c>
      <c r="W1" s="56" t="str">
        <v>Solhus gård</v>
      </c>
      <c r="X1" s="56" t="str">
        <v>Aunbygdvegen 40</v>
      </c>
      <c r="Y1" s="56" t="str">
        <v>Øver Bortn Gård</v>
      </c>
      <c r="Z1" s="56" t="str">
        <v>Rofstadbakken</v>
      </c>
      <c r="AA1" s="56" t="str">
        <v>Gislaug Loddgård</v>
      </c>
      <c r="AB1" s="56" t="str">
        <v>Dalan gård</v>
      </c>
      <c r="AC1" s="56" t="str">
        <v>Skarsem gård</v>
      </c>
      <c r="AD1" s="56" t="str">
        <v>Nordtømmesvegen 151</v>
      </c>
      <c r="AE1" s="56" t="str">
        <v>Røstad øvre</v>
      </c>
      <c r="AF1" s="56" t="str">
        <v>Håa gård</v>
      </c>
      <c r="AG1" s="56" t="str">
        <v>Fostad nordre</v>
      </c>
      <c r="AH1" s="56" t="str">
        <v>Søstrene Moksnes</v>
      </c>
      <c r="AI1" s="56" t="str">
        <v>Myraunet gård</v>
      </c>
      <c r="AJ1" s="56" t="str">
        <v>Hellberg gård</v>
      </c>
      <c r="AK1" s="56" t="str">
        <v>Ola Fiskvik</v>
      </c>
      <c r="AL1" s="56" t="str">
        <v>Kindseth gård</v>
      </c>
      <c r="AM1" s="56" t="str">
        <v>Julseth østre</v>
      </c>
      <c r="AN1" s="56" t="str">
        <v>Brennmoen gård</v>
      </c>
      <c r="AO1" s="56" t="str">
        <v>Rolset sag</v>
      </c>
      <c r="AP1" s="56" t="str">
        <v>Alpakkalia</v>
      </c>
      <c r="AQ1" s="56" t="str">
        <v>Berge gård</v>
      </c>
    </row>
    <row r="2" spans="1:43" x14ac:dyDescent="0.2">
      <c r="A2" s="28" t="s">
        <v>358</v>
      </c>
      <c r="B2" s="54">
        <f>AVERAGE(C2:AQ2)</f>
        <v>1.3084785133565622</v>
      </c>
      <c r="C2" s="28">
        <f>AVERAGE(_xlfn.ANCHORARRAY(C4))</f>
        <v>1</v>
      </c>
      <c r="D2">
        <f t="shared" ref="D2:AM2" si="0">AVERAGE(_xlfn.ANCHORARRAY(D4))</f>
        <v>3.25</v>
      </c>
      <c r="E2">
        <f t="shared" si="0"/>
        <v>1</v>
      </c>
      <c r="F2">
        <f t="shared" si="0"/>
        <v>0.5</v>
      </c>
      <c r="G2">
        <f t="shared" si="0"/>
        <v>2.5</v>
      </c>
      <c r="H2">
        <f t="shared" si="0"/>
        <v>1.6666666666666667</v>
      </c>
      <c r="I2">
        <f t="shared" si="0"/>
        <v>0</v>
      </c>
      <c r="J2">
        <f t="shared" si="0"/>
        <v>0.66666666666666663</v>
      </c>
      <c r="K2">
        <f t="shared" si="0"/>
        <v>1</v>
      </c>
      <c r="L2">
        <f>AVERAGE(_xlfn.ANCHORARRAY(L4))</f>
        <v>6.5</v>
      </c>
      <c r="M2">
        <f t="shared" si="0"/>
        <v>1.5</v>
      </c>
      <c r="N2">
        <f t="shared" si="0"/>
        <v>0.25</v>
      </c>
      <c r="O2">
        <f t="shared" si="0"/>
        <v>0.33333333333333331</v>
      </c>
      <c r="P2">
        <f t="shared" si="0"/>
        <v>0</v>
      </c>
      <c r="Q2">
        <f t="shared" si="0"/>
        <v>0.66666666666666663</v>
      </c>
      <c r="R2">
        <f t="shared" si="0"/>
        <v>1.4</v>
      </c>
      <c r="S2">
        <f t="shared" si="0"/>
        <v>0</v>
      </c>
      <c r="T2">
        <f t="shared" si="0"/>
        <v>2</v>
      </c>
      <c r="U2">
        <f t="shared" si="0"/>
        <v>1.25</v>
      </c>
      <c r="V2">
        <f t="shared" si="0"/>
        <v>4</v>
      </c>
      <c r="W2">
        <f t="shared" si="0"/>
        <v>0.2</v>
      </c>
      <c r="X2">
        <f t="shared" si="0"/>
        <v>1.75</v>
      </c>
      <c r="Y2">
        <f t="shared" si="0"/>
        <v>2</v>
      </c>
      <c r="Z2">
        <f t="shared" si="0"/>
        <v>2.6666666666666665</v>
      </c>
      <c r="AA2">
        <f t="shared" si="0"/>
        <v>2</v>
      </c>
      <c r="AB2">
        <f t="shared" si="0"/>
        <v>1</v>
      </c>
      <c r="AC2">
        <f t="shared" si="0"/>
        <v>2</v>
      </c>
      <c r="AD2">
        <f t="shared" si="0"/>
        <v>0</v>
      </c>
      <c r="AE2">
        <f t="shared" si="0"/>
        <v>1.5</v>
      </c>
      <c r="AF2">
        <f t="shared" si="0"/>
        <v>0.5</v>
      </c>
      <c r="AG2">
        <f t="shared" si="0"/>
        <v>0.5</v>
      </c>
      <c r="AH2">
        <f t="shared" si="0"/>
        <v>2</v>
      </c>
      <c r="AI2">
        <f t="shared" si="0"/>
        <v>1.5</v>
      </c>
      <c r="AJ2">
        <f t="shared" si="0"/>
        <v>1.6666666666666667</v>
      </c>
      <c r="AK2">
        <f t="shared" si="0"/>
        <v>1.3333333333333333</v>
      </c>
      <c r="AL2">
        <f t="shared" si="0"/>
        <v>0.5</v>
      </c>
      <c r="AM2">
        <f t="shared" si="0"/>
        <v>1</v>
      </c>
      <c r="AN2">
        <f>AVERAGE(_xlfn.ANCHORARRAY(AN4))</f>
        <v>0.33333333333333331</v>
      </c>
      <c r="AO2">
        <f>AVERAGE(_xlfn.ANCHORARRAY(AO4))</f>
        <v>0</v>
      </c>
      <c r="AP2">
        <f>AVERAGE(_xlfn.ANCHORARRAY(AP4))</f>
        <v>1</v>
      </c>
      <c r="AQ2">
        <f>AVERAGE(_xlfn.ANCHORARRAY(AQ4))</f>
        <v>0.7142857142857143</v>
      </c>
    </row>
    <row r="3" spans="1:43" ht="16" thickBot="1" x14ac:dyDescent="0.25">
      <c r="A3" s="30" t="s">
        <v>357</v>
      </c>
      <c r="B3" s="41">
        <f>SUM(C3:AQ3)</f>
        <v>167</v>
      </c>
      <c r="C3" s="30">
        <f>SUM(_xlfn.ANCHORARRAY(C4))</f>
        <v>2</v>
      </c>
      <c r="D3" s="31">
        <f t="shared" ref="D3:AM3" si="1">SUM(_xlfn.ANCHORARRAY(D4))</f>
        <v>13</v>
      </c>
      <c r="E3" s="31">
        <f t="shared" si="1"/>
        <v>2</v>
      </c>
      <c r="F3" s="31">
        <f t="shared" si="1"/>
        <v>1</v>
      </c>
      <c r="G3" s="31">
        <f t="shared" si="1"/>
        <v>5</v>
      </c>
      <c r="H3" s="31">
        <f t="shared" si="1"/>
        <v>5</v>
      </c>
      <c r="I3" s="31">
        <f t="shared" si="1"/>
        <v>0</v>
      </c>
      <c r="J3" s="31">
        <f t="shared" si="1"/>
        <v>2</v>
      </c>
      <c r="K3" s="31">
        <f t="shared" si="1"/>
        <v>4</v>
      </c>
      <c r="L3" s="31">
        <f t="shared" si="1"/>
        <v>13</v>
      </c>
      <c r="M3" s="31">
        <f t="shared" si="1"/>
        <v>6</v>
      </c>
      <c r="N3" s="31">
        <f t="shared" si="1"/>
        <v>1</v>
      </c>
      <c r="O3" s="31">
        <f t="shared" si="1"/>
        <v>1</v>
      </c>
      <c r="P3" s="31">
        <f t="shared" si="1"/>
        <v>0</v>
      </c>
      <c r="Q3" s="31">
        <f t="shared" si="1"/>
        <v>2</v>
      </c>
      <c r="R3" s="31">
        <f t="shared" si="1"/>
        <v>7</v>
      </c>
      <c r="S3" s="31">
        <f t="shared" si="1"/>
        <v>0</v>
      </c>
      <c r="T3" s="31">
        <f t="shared" si="1"/>
        <v>8</v>
      </c>
      <c r="U3" s="31">
        <f t="shared" si="1"/>
        <v>5</v>
      </c>
      <c r="V3" s="31">
        <f t="shared" si="1"/>
        <v>4</v>
      </c>
      <c r="W3" s="31">
        <f t="shared" si="1"/>
        <v>1</v>
      </c>
      <c r="X3" s="31">
        <f t="shared" si="1"/>
        <v>7</v>
      </c>
      <c r="Y3" s="31">
        <f t="shared" si="1"/>
        <v>6</v>
      </c>
      <c r="Z3" s="31">
        <f t="shared" si="1"/>
        <v>8</v>
      </c>
      <c r="AA3" s="31">
        <f t="shared" si="1"/>
        <v>6</v>
      </c>
      <c r="AB3" s="31">
        <f t="shared" si="1"/>
        <v>3</v>
      </c>
      <c r="AC3" s="31">
        <f t="shared" si="1"/>
        <v>8</v>
      </c>
      <c r="AD3" s="31">
        <f t="shared" si="1"/>
        <v>0</v>
      </c>
      <c r="AE3" s="31">
        <f t="shared" si="1"/>
        <v>9</v>
      </c>
      <c r="AF3" s="31">
        <f t="shared" si="1"/>
        <v>2</v>
      </c>
      <c r="AG3" s="31">
        <f t="shared" si="1"/>
        <v>1</v>
      </c>
      <c r="AH3" s="31">
        <f t="shared" si="1"/>
        <v>8</v>
      </c>
      <c r="AI3" s="31">
        <f t="shared" si="1"/>
        <v>3</v>
      </c>
      <c r="AJ3" s="31">
        <f t="shared" si="1"/>
        <v>5</v>
      </c>
      <c r="AK3" s="31">
        <f t="shared" si="1"/>
        <v>4</v>
      </c>
      <c r="AL3" s="31">
        <f t="shared" si="1"/>
        <v>1</v>
      </c>
      <c r="AM3" s="31">
        <f t="shared" si="1"/>
        <v>5</v>
      </c>
      <c r="AN3" s="31">
        <f>SUM(_xlfn.ANCHORARRAY(AN4))</f>
        <v>1</v>
      </c>
      <c r="AO3" s="31">
        <f>SUM(_xlfn.ANCHORARRAY(AO4))</f>
        <v>0</v>
      </c>
      <c r="AP3" s="31">
        <f>SUM(_xlfn.ANCHORARRAY(AP4))</f>
        <v>3</v>
      </c>
      <c r="AQ3" s="31">
        <f>SUM(_xlfn.ANCHORARRAY(AQ4))</f>
        <v>5</v>
      </c>
    </row>
    <row r="4" spans="1:43" x14ac:dyDescent="0.2">
      <c r="C4" cm="1">
        <f t="array" ref="C4:C5">_xlfn._xlws.FILTER(Data!$I:$I,Data!$A:$A=C1)</f>
        <v>1</v>
      </c>
      <c r="D4" cm="1">
        <f t="array" ref="D4:D7">_xlfn._xlws.FILTER(Data!$I:$I,Data!$A:$A=D1)</f>
        <v>3</v>
      </c>
      <c r="E4" cm="1">
        <f t="array" ref="E4:E5">_xlfn._xlws.FILTER(Data!$I:$I,Data!$A:$A=E1)</f>
        <v>0</v>
      </c>
      <c r="F4" cm="1">
        <f t="array" ref="F4:F5">_xlfn._xlws.FILTER(Data!$I:$I,Data!$A:$A=F1)</f>
        <v>0</v>
      </c>
      <c r="G4" cm="1">
        <f t="array" ref="G4:G5">_xlfn._xlws.FILTER(Data!$I:$I,Data!$A:$A=G1)</f>
        <v>3</v>
      </c>
      <c r="H4" cm="1">
        <f t="array" ref="H4:H6">_xlfn._xlws.FILTER(Data!$I:$I,Data!$A:$A=H1)</f>
        <v>2</v>
      </c>
      <c r="I4" cm="1">
        <f t="array" ref="I4:I6">_xlfn._xlws.FILTER(Data!$I:$I,Data!$A:$A=I1)</f>
        <v>0</v>
      </c>
      <c r="J4" cm="1">
        <f t="array" ref="J4:J6">_xlfn._xlws.FILTER(Data!$I:$I,Data!$A:$A=J1)</f>
        <v>1</v>
      </c>
      <c r="K4" cm="1">
        <f t="array" ref="K4:K7">_xlfn._xlws.FILTER(Data!$I:$I,Data!$A:$A=K1)</f>
        <v>1</v>
      </c>
      <c r="L4" cm="1">
        <f t="array" ref="L4:L5">_xlfn._xlws.FILTER(Data!$I:$I,Data!$A:$A=L1)</f>
        <v>13</v>
      </c>
      <c r="M4" cm="1">
        <f t="array" ref="M4:M7">_xlfn._xlws.FILTER(Data!$I:$I,Data!$A:$A=M1)</f>
        <v>0</v>
      </c>
      <c r="N4" cm="1">
        <f t="array" ref="N4:N7">_xlfn._xlws.FILTER(Data!$I:$I,Data!$A:$A=N1)</f>
        <v>0</v>
      </c>
      <c r="O4" cm="1">
        <f t="array" ref="O4:O6">_xlfn._xlws.FILTER(Data!$I:$I,Data!$A:$A=O1)</f>
        <v>0</v>
      </c>
      <c r="P4" cm="1">
        <f t="array" ref="P4">_xlfn._xlws.FILTER(Data!$I:$I,Data!$A:$A=P1)</f>
        <v>0</v>
      </c>
      <c r="Q4" cm="1">
        <f t="array" ref="Q4:Q6">_xlfn._xlws.FILTER(Data!$I:$I,Data!$A:$A=Q1)</f>
        <v>2</v>
      </c>
      <c r="R4" cm="1">
        <f t="array" ref="R4:R8">_xlfn._xlws.FILTER(Data!$I:$I,Data!$A:$A=R1)</f>
        <v>3</v>
      </c>
      <c r="S4" cm="1">
        <f t="array" ref="S4">_xlfn._xlws.FILTER(Data!$I:$I,Data!$A:$A=S1)</f>
        <v>0</v>
      </c>
      <c r="T4" cm="1">
        <f t="array" ref="T4:T7">_xlfn._xlws.FILTER(Data!$I:$I,Data!$A:$A=T1)</f>
        <v>1</v>
      </c>
      <c r="U4" cm="1">
        <f t="array" ref="U4:U7">_xlfn._xlws.FILTER(Data!$I:$I,Data!$A:$A=U1)</f>
        <v>1</v>
      </c>
      <c r="V4" cm="1">
        <f t="array" ref="V4">_xlfn._xlws.FILTER(Data!$I:$I,Data!$A:$A=V1)</f>
        <v>4</v>
      </c>
      <c r="W4" cm="1">
        <f t="array" ref="W4:W8">_xlfn._xlws.FILTER(Data!$I:$I,Data!$A:$A=W1)</f>
        <v>0</v>
      </c>
      <c r="X4" cm="1">
        <f t="array" ref="X4:X7">_xlfn._xlws.FILTER(Data!$I:$I,Data!$A:$A=X1)</f>
        <v>2</v>
      </c>
      <c r="Y4" cm="1">
        <f t="array" ref="Y4:Y6">_xlfn._xlws.FILTER(Data!$I:$I,Data!$A:$A=Y1)</f>
        <v>1</v>
      </c>
      <c r="Z4" cm="1">
        <f t="array" ref="Z4:Z6">_xlfn._xlws.FILTER(Data!$I:$I,Data!$A:$A=Z1)</f>
        <v>1</v>
      </c>
      <c r="AA4" cm="1">
        <f t="array" ref="AA4:AA6">_xlfn._xlws.FILTER(Data!$I:$I,Data!$A:$A=AA1)</f>
        <v>1</v>
      </c>
      <c r="AB4" cm="1">
        <f t="array" ref="AB4:AB6">_xlfn._xlws.FILTER(Data!$I:$I,Data!$A:$A=AB1)</f>
        <v>2</v>
      </c>
      <c r="AC4" cm="1">
        <f t="array" ref="AC4:AC7">_xlfn._xlws.FILTER(Data!$I:$I,Data!$A:$A=AC1)</f>
        <v>1</v>
      </c>
      <c r="AD4" cm="1">
        <f t="array" ref="AD4">_xlfn._xlws.FILTER(Data!$I:$I,Data!$A:$A=AD1)</f>
        <v>0</v>
      </c>
      <c r="AE4" cm="1">
        <f t="array" ref="AE4:AE9">_xlfn._xlws.FILTER(Data!$I:$I,Data!$A:$A=AE1)</f>
        <v>3</v>
      </c>
      <c r="AF4" cm="1">
        <f t="array" ref="AF4:AF7">_xlfn._xlws.FILTER(Data!$I:$I,Data!$A:$A=AF1)</f>
        <v>1</v>
      </c>
      <c r="AG4" cm="1">
        <f t="array" ref="AG4:AG5">_xlfn._xlws.FILTER(Data!$I:$I,Data!$A:$A=AG1)</f>
        <v>0</v>
      </c>
      <c r="AH4" cm="1">
        <f t="array" ref="AH4:AH7">_xlfn._xlws.FILTER(Data!$I:$I,Data!$A:$A=AH1)</f>
        <v>2</v>
      </c>
      <c r="AI4" cm="1">
        <f t="array" ref="AI4:AI5">_xlfn._xlws.FILTER(Data!$I:$I,Data!$A:$A=AI1)</f>
        <v>0</v>
      </c>
      <c r="AJ4" cm="1">
        <f t="array" ref="AJ4:AJ6">_xlfn._xlws.FILTER(Data!$I:$I,Data!$A:$A=AJ1)</f>
        <v>1</v>
      </c>
      <c r="AK4" cm="1">
        <f t="array" ref="AK4:AK6">_xlfn._xlws.FILTER(Data!$I:$I,Data!$A:$A=AK1)</f>
        <v>0</v>
      </c>
      <c r="AL4" cm="1">
        <f t="array" ref="AL4:AL5">_xlfn._xlws.FILTER(Data!$I:$I,Data!$A:$A=AL1)</f>
        <v>0</v>
      </c>
      <c r="AM4" cm="1">
        <f t="array" ref="AM4:AM8">_xlfn._xlws.FILTER(Data!$I:$I,Data!$A:$A=AM1)</f>
        <v>1</v>
      </c>
      <c r="AN4" cm="1">
        <f t="array" ref="AN4:AN6">_xlfn._xlws.FILTER(Data!$I:$I,Data!$A:$A=AN1)</f>
        <v>1</v>
      </c>
      <c r="AO4" cm="1">
        <f t="array" ref="AO4">_xlfn._xlws.FILTER(Data!$I:$I,Data!$A:$A=AO1)</f>
        <v>0</v>
      </c>
      <c r="AP4" cm="1">
        <f t="array" ref="AP4:AP6">_xlfn._xlws.FILTER(Data!$I:$I,Data!$A:$A=AP1)</f>
        <v>2</v>
      </c>
      <c r="AQ4" cm="1">
        <f t="array" ref="AQ4:AQ10">_xlfn._xlws.FILTER(Data!$I:$I,Data!$A:$A=AQ1)</f>
        <v>0</v>
      </c>
    </row>
    <row r="5" spans="1:43" x14ac:dyDescent="0.2">
      <c r="C5">
        <v>1</v>
      </c>
      <c r="D5">
        <v>3</v>
      </c>
      <c r="E5">
        <v>2</v>
      </c>
      <c r="F5">
        <v>1</v>
      </c>
      <c r="G5">
        <v>2</v>
      </c>
      <c r="H5">
        <v>3</v>
      </c>
      <c r="I5">
        <v>0</v>
      </c>
      <c r="J5">
        <v>0</v>
      </c>
      <c r="K5">
        <v>0</v>
      </c>
      <c r="L5">
        <v>0</v>
      </c>
      <c r="M5">
        <v>1</v>
      </c>
      <c r="N5">
        <v>0</v>
      </c>
      <c r="O5">
        <v>0</v>
      </c>
      <c r="Q5">
        <v>0</v>
      </c>
      <c r="R5">
        <v>1</v>
      </c>
      <c r="T5">
        <v>1</v>
      </c>
      <c r="U5">
        <v>1</v>
      </c>
      <c r="W5">
        <v>0</v>
      </c>
      <c r="X5">
        <v>1</v>
      </c>
      <c r="Y5">
        <v>4</v>
      </c>
      <c r="Z5">
        <v>4</v>
      </c>
      <c r="AA5">
        <v>2</v>
      </c>
      <c r="AB5">
        <v>1</v>
      </c>
      <c r="AC5">
        <v>4</v>
      </c>
      <c r="AE5">
        <v>2</v>
      </c>
      <c r="AF5">
        <v>0</v>
      </c>
      <c r="AG5">
        <v>1</v>
      </c>
      <c r="AH5">
        <v>2</v>
      </c>
      <c r="AI5">
        <v>3</v>
      </c>
      <c r="AJ5">
        <v>1</v>
      </c>
      <c r="AK5">
        <v>1</v>
      </c>
      <c r="AL5">
        <v>1</v>
      </c>
      <c r="AM5">
        <v>1</v>
      </c>
      <c r="AN5">
        <v>0</v>
      </c>
      <c r="AP5">
        <v>0</v>
      </c>
      <c r="AQ5">
        <v>0</v>
      </c>
    </row>
    <row r="6" spans="1:43" x14ac:dyDescent="0.2">
      <c r="D6">
        <v>5</v>
      </c>
      <c r="H6">
        <v>0</v>
      </c>
      <c r="I6">
        <v>0</v>
      </c>
      <c r="J6">
        <v>1</v>
      </c>
      <c r="K6">
        <v>3</v>
      </c>
      <c r="M6">
        <v>5</v>
      </c>
      <c r="N6">
        <v>1</v>
      </c>
      <c r="O6">
        <v>1</v>
      </c>
      <c r="Q6">
        <v>0</v>
      </c>
      <c r="R6">
        <v>1</v>
      </c>
      <c r="T6">
        <v>5</v>
      </c>
      <c r="U6">
        <v>2</v>
      </c>
      <c r="W6">
        <v>0</v>
      </c>
      <c r="X6">
        <v>1</v>
      </c>
      <c r="Y6">
        <v>1</v>
      </c>
      <c r="Z6">
        <v>3</v>
      </c>
      <c r="AA6">
        <v>3</v>
      </c>
      <c r="AB6">
        <v>0</v>
      </c>
      <c r="AC6">
        <v>1</v>
      </c>
      <c r="AE6">
        <v>2</v>
      </c>
      <c r="AF6">
        <v>0</v>
      </c>
      <c r="AH6">
        <v>2</v>
      </c>
      <c r="AJ6">
        <v>3</v>
      </c>
      <c r="AK6">
        <v>3</v>
      </c>
      <c r="AM6">
        <v>3</v>
      </c>
      <c r="AN6">
        <v>0</v>
      </c>
      <c r="AP6">
        <v>1</v>
      </c>
      <c r="AQ6">
        <v>3</v>
      </c>
    </row>
    <row r="7" spans="1:43" x14ac:dyDescent="0.2">
      <c r="D7">
        <v>2</v>
      </c>
      <c r="K7">
        <v>0</v>
      </c>
      <c r="M7">
        <v>0</v>
      </c>
      <c r="N7">
        <v>0</v>
      </c>
      <c r="R7">
        <v>0</v>
      </c>
      <c r="T7">
        <v>1</v>
      </c>
      <c r="U7">
        <v>1</v>
      </c>
      <c r="W7">
        <v>1</v>
      </c>
      <c r="X7">
        <v>3</v>
      </c>
      <c r="AC7">
        <v>2</v>
      </c>
      <c r="AE7">
        <v>0</v>
      </c>
      <c r="AF7">
        <v>1</v>
      </c>
      <c r="AH7">
        <v>2</v>
      </c>
      <c r="AM7">
        <v>0</v>
      </c>
      <c r="AQ7">
        <v>0</v>
      </c>
    </row>
    <row r="8" spans="1:43" x14ac:dyDescent="0.2">
      <c r="R8">
        <v>2</v>
      </c>
      <c r="W8">
        <v>0</v>
      </c>
      <c r="AE8">
        <v>0</v>
      </c>
      <c r="AM8">
        <v>0</v>
      </c>
      <c r="AQ8">
        <v>0</v>
      </c>
    </row>
    <row r="9" spans="1:43" x14ac:dyDescent="0.2">
      <c r="AE9">
        <v>2</v>
      </c>
      <c r="AQ9">
        <v>2</v>
      </c>
    </row>
    <row r="10" spans="1:43" x14ac:dyDescent="0.2">
      <c r="AQ10">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d226a53-2925-4abb-935f-8aef38cb7cec">
      <Terms xmlns="http://schemas.microsoft.com/office/infopath/2007/PartnerControls"/>
    </lcf76f155ced4ddcb4097134ff3c332f>
    <TaxCatchAll xmlns="4060dee7-0d27-43f6-b6a2-8e210c187b8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6A31F5EF14D3C46A25DF7BE346CE163" ma:contentTypeVersion="11" ma:contentTypeDescription="Create a new document." ma:contentTypeScope="" ma:versionID="c0d16566a7eb8ad41160462887b8d99d">
  <xsd:schema xmlns:xsd="http://www.w3.org/2001/XMLSchema" xmlns:xs="http://www.w3.org/2001/XMLSchema" xmlns:p="http://schemas.microsoft.com/office/2006/metadata/properties" xmlns:ns2="9d226a53-2925-4abb-935f-8aef38cb7cec" xmlns:ns3="4060dee7-0d27-43f6-b6a2-8e210c187b83" targetNamespace="http://schemas.microsoft.com/office/2006/metadata/properties" ma:root="true" ma:fieldsID="290c0429434ceb50920a478d27d53a63" ns2:_="" ns3:_="">
    <xsd:import namespace="9d226a53-2925-4abb-935f-8aef38cb7cec"/>
    <xsd:import namespace="4060dee7-0d27-43f6-b6a2-8e210c187b8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26a53-2925-4abb-935f-8aef38cb7c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e7bc199-5fe5-462f-a3d8-26f806c1f49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60dee7-0d27-43f6-b6a2-8e210c187b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85396e8-24d9-4d12-b81a-dd86ec907c0c}" ma:internalName="TaxCatchAll" ma:showField="CatchAllData" ma:web="4060dee7-0d27-43f6-b6a2-8e210c187b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49879A-9F96-4157-B7B4-6F790E4550B5}">
  <ds:schemaRefs>
    <ds:schemaRef ds:uri="http://purl.org/dc/terms/"/>
    <ds:schemaRef ds:uri="http://schemas.microsoft.com/office/2006/documentManagement/types"/>
    <ds:schemaRef ds:uri="http://purl.org/dc/elements/1.1/"/>
    <ds:schemaRef ds:uri="http://purl.org/dc/dcmitype/"/>
    <ds:schemaRef ds:uri="9d226a53-2925-4abb-935f-8aef38cb7cec"/>
    <ds:schemaRef ds:uri="http://schemas.microsoft.com/office/2006/metadata/properties"/>
    <ds:schemaRef ds:uri="http://schemas.microsoft.com/office/infopath/2007/PartnerControls"/>
    <ds:schemaRef ds:uri="http://schemas.openxmlformats.org/package/2006/metadata/core-properties"/>
    <ds:schemaRef ds:uri="4060dee7-0d27-43f6-b6a2-8e210c187b83"/>
    <ds:schemaRef ds:uri="http://www.w3.org/XML/1998/namespace"/>
  </ds:schemaRefs>
</ds:datastoreItem>
</file>

<file path=customXml/itemProps2.xml><?xml version="1.0" encoding="utf-8"?>
<ds:datastoreItem xmlns:ds="http://schemas.openxmlformats.org/officeDocument/2006/customXml" ds:itemID="{BE82690F-A51C-4D17-ADE2-C2B97F4919A7}">
  <ds:schemaRefs>
    <ds:schemaRef ds:uri="http://schemas.microsoft.com/sharepoint/v3/contenttype/forms"/>
  </ds:schemaRefs>
</ds:datastoreItem>
</file>

<file path=customXml/itemProps3.xml><?xml version="1.0" encoding="utf-8"?>
<ds:datastoreItem xmlns:ds="http://schemas.openxmlformats.org/officeDocument/2006/customXml" ds:itemID="{49F3B30A-6F41-4730-9579-1A4922265E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26a53-2925-4abb-935f-8aef38cb7cec"/>
    <ds:schemaRef ds:uri="4060dee7-0d27-43f6-b6a2-8e210c187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9a10672-822f-4467-a5ba-5bb375967c05}" enabled="0" method="" siteId="{09a10672-822f-4467-a5ba-5bb375967c05}"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Data</vt:lpstr>
      <vt:lpstr>Status</vt:lpstr>
      <vt:lpstr>Lists</vt:lpstr>
      <vt:lpstr>Analyse Område</vt:lpstr>
      <vt:lpstr>Analyse What is Produced</vt:lpstr>
      <vt:lpstr>Sheet2</vt:lpstr>
      <vt:lpstr>Analyse Gård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Michael Nelson Metzler</cp:lastModifiedBy>
  <cp:revision/>
  <dcterms:created xsi:type="dcterms:W3CDTF">2026-06-25T06:23:14Z</dcterms:created>
  <dcterms:modified xsi:type="dcterms:W3CDTF">2026-08-28T16:54:18Z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0x010100F6A31F5EF14D3C46A25DF7BE346CE163</vt:lpwstr>
  </property>
  <property fmtid="{D5CDD505-2E9C-101B-9397-08002B2CF9AE}" pid="3" name="MediaServiceImageTags">
    <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