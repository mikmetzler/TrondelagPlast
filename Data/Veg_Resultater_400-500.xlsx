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400-500" sheetId="2" r:id="rId6"/>
  </sheets>
  <definedNames/>
  <calcPr/>
</workbook>
</file>

<file path=xl/sharedStrings.xml><?xml version="1.0" encoding="utf-8"?>
<sst xmlns="http://schemas.openxmlformats.org/spreadsheetml/2006/main" count="84" uniqueCount="63">
  <si>
    <t>Prøve ID</t>
  </si>
  <si>
    <t>Type prøve</t>
  </si>
  <si>
    <t>total VEKT (g)</t>
  </si>
  <si>
    <t>Antall dekkpartikler</t>
  </si>
  <si>
    <t>konsentrasjon (partikler/g)</t>
  </si>
  <si>
    <t>konsentrasjon (punktsnitt, partikler/g)</t>
  </si>
  <si>
    <t>Fartsgrense</t>
  </si>
  <si>
    <t>Trafikkmengde (ÅDT)</t>
  </si>
  <si>
    <t>V401</t>
  </si>
  <si>
    <t>Gjerde</t>
  </si>
  <si>
    <t>V402</t>
  </si>
  <si>
    <t>V403</t>
  </si>
  <si>
    <t>V404</t>
  </si>
  <si>
    <t>V405</t>
  </si>
  <si>
    <t>V406</t>
  </si>
  <si>
    <t>V407</t>
  </si>
  <si>
    <t>Instruksjoner:</t>
  </si>
  <si>
    <t>Kollonne A</t>
  </si>
  <si>
    <t>Prøve ID - Representerer alle prøvene våres tatt iløpet av de fem forskjellige oppdragen.</t>
  </si>
  <si>
    <t>V408</t>
  </si>
  <si>
    <t>Kolonne B</t>
  </si>
  <si>
    <t>Type prøver - Er en av tre alternativer: vei, fasade eller gjerde. Hvert alternativ har egen protokoll</t>
  </si>
  <si>
    <t>V409</t>
  </si>
  <si>
    <t>Kolonne C</t>
  </si>
  <si>
    <t>V410</t>
  </si>
  <si>
    <r>
      <rPr>
        <rFont val="Calibri"/>
        <color theme="1"/>
        <sz val="12.0"/>
      </rPr>
      <t xml:space="preserve">Total VEKT (g) - Representerer den totale innsamlede prøven </t>
    </r>
    <r>
      <rPr>
        <rFont val="Calibri"/>
        <i/>
        <color theme="1"/>
        <sz val="12.0"/>
      </rPr>
      <t xml:space="preserve">ETTER </t>
    </r>
    <r>
      <rPr>
        <rFont val="Calibri"/>
        <color theme="1"/>
        <sz val="12.0"/>
      </rPr>
      <t>de største steinene er filtrert ut. (Steget som skjer før saltfiltrering)</t>
    </r>
  </si>
  <si>
    <t>Kolonne D</t>
  </si>
  <si>
    <t>Antall dekkpartikler - Representerer estimert antall TWP (tire wear particles) per filter. Kun 1/4 av filteret ble telt. Antallet fra 1/4 ble så ganget med 4 for å få et estimat av hele filteret. Hvert filter dekker en prøve som ble innsamlet fra et område på 38*38 cm²</t>
  </si>
  <si>
    <t>Kolonne E</t>
  </si>
  <si>
    <t>V411</t>
  </si>
  <si>
    <t xml:space="preserve">Konsentrasjon (partikler/g) - Ved å multiplisere antall-partikler hentet fra kolonne D med vekten fra kolonne C, så blir enheten partikler/g
</t>
  </si>
  <si>
    <t>V412</t>
  </si>
  <si>
    <t>Kolonne F</t>
  </si>
  <si>
    <t>Konsentrasjon (punktsnitt, partikler/g) - Er snittet av trippletten gitt partikler/g. Altså hvert punkt fra kolonne E er addert og dividert på 3.</t>
  </si>
  <si>
    <t>Kolonne G</t>
  </si>
  <si>
    <t>V413</t>
  </si>
  <si>
    <t>Fartsgrense - Hvert punkt er tatt i umiddelbar nærhet til en vei, denne kolonnen representerer fartsgrensen for denne veien.</t>
  </si>
  <si>
    <t>Kolonne H</t>
  </si>
  <si>
    <t>Trafikkmengde (ÅDT) - Dette tallet er hentet direkte ut fra SVV (Statens vegvesen) og representer et snitt av daglig trafikkvolum : https://vegkart.atlas.vegvesen.no/#/@600000,7187325,3</t>
  </si>
  <si>
    <t>V414</t>
  </si>
  <si>
    <t>V415</t>
  </si>
  <si>
    <t>V501</t>
  </si>
  <si>
    <t>Vei</t>
  </si>
  <si>
    <t>*= varier i det andre datasettet</t>
  </si>
  <si>
    <t>Disclaimer</t>
  </si>
  <si>
    <t>*= prosseser er dypere beskrevet i protokollen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</si>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</sst>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</fills>
  <borders count="2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3" fontId="1" numFmtId="0" xfId="0" applyAlignment="1" applyBorder="1" applyFill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164" xfId="0" applyAlignment="1" applyBorder="1" applyFont="1" applyNumberFormat="1">
      <alignment horizontal="right" vertical="bottom"/>
    </xf>
    <xf borderId="8" fillId="0" fontId="1" numFmtId="2" xfId="0" applyAlignment="1" applyBorder="1" applyFont="1" applyNumberFormat="1">
      <alignment horizontal="right" vertical="bottom"/>
    </xf>
    <xf borderId="9" fillId="0" fontId="1" numFmtId="2" xfId="0" applyAlignment="1" applyBorder="1" applyFont="1" applyNumberFormat="1">
      <alignment vertical="bottom"/>
    </xf>
    <xf borderId="8" fillId="0" fontId="1" numFmtId="0" xfId="0" applyAlignment="1" applyBorder="1" applyFont="1">
      <alignment horizontal="right" vertical="bottom"/>
    </xf>
    <xf borderId="10" fillId="3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1" fillId="0" fontId="1" numFmtId="164" xfId="0" applyAlignment="1" applyBorder="1" applyFont="1" applyNumberFormat="1">
      <alignment vertical="bottom"/>
    </xf>
    <xf borderId="12" fillId="0" fontId="1" numFmtId="2" xfId="0" applyAlignment="1" applyBorder="1" applyFont="1" applyNumberFormat="1">
      <alignment vertical="bottom"/>
    </xf>
    <xf borderId="12" fillId="0" fontId="1" numFmtId="0" xfId="0" applyAlignment="1" applyBorder="1" applyFont="1">
      <alignment vertical="bottom"/>
    </xf>
    <xf borderId="13" fillId="3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14" fillId="0" fontId="1" numFmtId="164" xfId="0" applyAlignment="1" applyBorder="1" applyFont="1" applyNumberFormat="1">
      <alignment vertical="bottom"/>
    </xf>
    <xf borderId="15" fillId="0" fontId="1" numFmtId="2" xfId="0" applyAlignment="1" applyBorder="1" applyFont="1" applyNumberFormat="1">
      <alignment vertical="bottom"/>
    </xf>
    <xf borderId="16" fillId="0" fontId="1" numFmtId="2" xfId="0" applyAlignment="1" applyBorder="1" applyFont="1" applyNumberFormat="1">
      <alignment vertical="bottom"/>
    </xf>
    <xf borderId="15" fillId="0" fontId="1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18" fillId="3" fontId="1" numFmtId="0" xfId="0" applyAlignment="1" applyBorder="1" applyFont="1">
      <alignment vertical="bottom"/>
    </xf>
    <xf borderId="19" fillId="3" fontId="1" numFmtId="0" xfId="0" applyAlignment="1" applyBorder="1" applyFont="1">
      <alignment vertical="bottom"/>
    </xf>
    <xf borderId="6" fillId="0" fontId="1" numFmtId="164" xfId="0" applyAlignment="1" applyBorder="1" applyFont="1" applyNumberFormat="1">
      <alignment horizontal="right" vertical="bottom"/>
    </xf>
    <xf borderId="20" fillId="0" fontId="1" numFmtId="0" xfId="0" applyAlignment="1" applyBorder="1" applyFont="1">
      <alignment vertical="bottom"/>
    </xf>
    <xf borderId="20" fillId="0" fontId="1" numFmtId="164" xfId="0" applyAlignment="1" applyBorder="1" applyFont="1" applyNumberFormat="1">
      <alignment horizontal="right" vertical="bottom"/>
    </xf>
    <xf borderId="21" fillId="0" fontId="1" numFmtId="2" xfId="0" applyAlignment="1" applyBorder="1" applyFont="1" applyNumberFormat="1">
      <alignment horizontal="right" vertical="bottom"/>
    </xf>
    <xf borderId="22" fillId="0" fontId="1" numFmtId="2" xfId="0" applyAlignment="1" applyBorder="1" applyFont="1" applyNumberFormat="1">
      <alignment horizontal="right" vertical="bottom"/>
    </xf>
    <xf borderId="23" fillId="0" fontId="1" numFmtId="2" xfId="0" applyAlignment="1" applyBorder="1" applyFont="1" applyNumberFormat="1">
      <alignment horizontal="right" vertical="bottom"/>
    </xf>
    <xf borderId="24" fillId="0" fontId="1" numFmtId="2" xfId="0" applyAlignment="1" applyBorder="1" applyFont="1" applyNumberFormat="1">
      <alignment vertical="bottom"/>
    </xf>
    <xf borderId="25" fillId="0" fontId="1" numFmtId="2" xfId="0" applyAlignment="1" applyBorder="1" applyFont="1" applyNumberFormat="1">
      <alignment vertical="bottom"/>
    </xf>
    <xf borderId="21" fillId="0" fontId="1" numFmtId="0" xfId="0" applyAlignment="1" applyBorder="1" applyFont="1">
      <alignment horizontal="right" vertical="bottom"/>
    </xf>
    <xf borderId="22" fillId="0" fontId="1" numFmtId="0" xfId="0" applyAlignment="1" applyBorder="1" applyFont="1">
      <alignment horizontal="right" vertical="bottom"/>
    </xf>
    <xf borderId="0" fillId="4" fontId="1" numFmtId="0" xfId="0" applyAlignment="1" applyFill="1" applyFont="1">
      <alignment vertical="bottom"/>
    </xf>
    <xf borderId="0" fillId="4" fontId="1" numFmtId="164" xfId="0" applyAlignment="1" applyFont="1" applyNumberFormat="1">
      <alignment vertical="bottom"/>
    </xf>
    <xf borderId="0" fillId="4" fontId="1" numFmtId="2" xfId="0" applyAlignment="1" applyFont="1" applyNumberFormat="1">
      <alignment vertical="bottom"/>
    </xf>
    <xf borderId="0" fillId="4" fontId="1" numFmtId="164" xfId="0" applyAlignment="1" applyFont="1" applyNumberFormat="1">
      <alignment horizontal="right" vertical="bottom"/>
    </xf>
    <xf borderId="0" fillId="4" fontId="1" numFmtId="2" xfId="0" applyAlignment="1" applyFont="1" applyNumberFormat="1">
      <alignment horizontal="right" vertical="bottom"/>
    </xf>
    <xf borderId="0" fillId="4" fontId="1" numFmtId="0" xfId="0" applyAlignment="1" applyFont="1">
      <alignment horizontal="right" vertical="bottom"/>
    </xf>
    <xf borderId="12" fillId="5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12" fillId="0" fontId="1" numFmtId="0" xfId="0" applyAlignment="1" applyBorder="1" applyFont="1">
      <alignment readingOrder="0" vertical="bottom"/>
    </xf>
    <xf borderId="12" fillId="6" fontId="1" numFmtId="0" xfId="0" applyAlignment="1" applyBorder="1" applyFill="1" applyFont="1">
      <alignment readingOrder="0" vertical="bottom"/>
    </xf>
    <xf borderId="12" fillId="5" fontId="1" numFmtId="0" xfId="0" applyAlignment="1" applyBorder="1" applyFont="1">
      <alignment vertical="top"/>
    </xf>
    <xf borderId="12" fillId="6" fontId="1" numFmtId="0" xfId="0" applyAlignment="1" applyBorder="1" applyFont="1">
      <alignment readingOrder="0" vertical="top"/>
    </xf>
    <xf borderId="26" fillId="5" fontId="1" numFmtId="0" xfId="0" applyAlignment="1" applyBorder="1" applyFont="1">
      <alignment vertical="bottom"/>
    </xf>
    <xf borderId="26" fillId="0" fontId="1" numFmtId="0" xfId="0" applyAlignment="1" applyBorder="1" applyFont="1">
      <alignment readingOrder="0" vertical="bottom"/>
    </xf>
    <xf borderId="0" fillId="4" fontId="2" numFmtId="0" xfId="0" applyFont="1"/>
    <xf borderId="6" fillId="0" fontId="1" numFmtId="0" xfId="0" applyAlignment="1" applyBorder="1" applyFont="1">
      <alignment readingOrder="0" vertical="bottom"/>
    </xf>
    <xf borderId="0" fillId="6" fontId="1" numFmtId="0" xfId="0" applyAlignment="1" applyFont="1">
      <alignment vertical="bottom"/>
    </xf>
    <xf borderId="0" fillId="4" fontId="1" numFmtId="0" xfId="0" applyAlignment="1" applyFont="1">
      <alignment readingOrder="0" vertical="bottom"/>
    </xf>
    <xf borderId="9" fillId="0" fontId="1" numFmtId="2" xfId="0" applyAlignment="1" applyBorder="1" applyFont="1" applyNumberFormat="1">
      <alignment horizontal="right" vertical="bottom"/>
    </xf>
    <xf borderId="8" fillId="0" fontId="1" numFmtId="0" xfId="0" applyAlignment="1" applyBorder="1" applyFont="1">
      <alignment vertical="bottom"/>
    </xf>
    <xf borderId="11" fillId="0" fontId="1" numFmtId="164" xfId="0" applyAlignment="1" applyBorder="1" applyFont="1" applyNumberFormat="1">
      <alignment horizontal="right" vertical="bottom"/>
    </xf>
    <xf borderId="12" fillId="0" fontId="1" numFmtId="2" xfId="0" applyAlignment="1" applyBorder="1" applyFont="1" applyNumberFormat="1">
      <alignment horizontal="right" vertical="bottom"/>
    </xf>
    <xf borderId="14" fillId="0" fontId="1" numFmtId="164" xfId="0" applyAlignment="1" applyBorder="1" applyFont="1" applyNumberFormat="1">
      <alignment horizontal="right" vertical="bottom"/>
    </xf>
    <xf borderId="15" fillId="0" fontId="1" numFmtId="2" xfId="0" applyAlignment="1" applyBorder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0"/>
    <col customWidth="1" min="4" max="4" width="16.88"/>
    <col customWidth="1" min="5" max="5" width="22.63"/>
    <col customWidth="1" min="6" max="6" width="31.88"/>
    <col customWidth="1" min="7" max="7" width="10.38"/>
    <col customWidth="1" min="8" max="8" width="18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>
      <c r="A2" s="5" t="s">
        <v>8</v>
      </c>
      <c r="B2" s="6"/>
      <c r="C2" s="7"/>
      <c r="D2" s="8"/>
      <c r="E2" s="8"/>
      <c r="F2" s="9"/>
      <c r="G2" s="10"/>
      <c r="H2" s="10"/>
    </row>
    <row r="3">
      <c r="A3" s="11" t="s">
        <v>10</v>
      </c>
      <c r="B3" s="12"/>
      <c r="C3" s="13"/>
      <c r="D3" s="14"/>
      <c r="E3" s="14"/>
      <c r="F3" s="9"/>
      <c r="G3" s="15"/>
      <c r="H3" s="15"/>
    </row>
    <row r="4">
      <c r="A4" s="16" t="s">
        <v>11</v>
      </c>
      <c r="B4" s="17"/>
      <c r="C4" s="18"/>
      <c r="D4" s="19"/>
      <c r="E4" s="19"/>
      <c r="F4" s="20"/>
      <c r="G4" s="21"/>
      <c r="H4" s="22"/>
    </row>
    <row r="5">
      <c r="A5" s="24" t="s">
        <v>12</v>
      </c>
      <c r="B5" s="26"/>
      <c r="C5" s="27"/>
      <c r="D5" s="29"/>
      <c r="E5" s="30"/>
      <c r="F5" s="32"/>
      <c r="G5" s="34"/>
      <c r="H5" s="34"/>
    </row>
    <row r="6">
      <c r="A6" s="35"/>
      <c r="B6" s="35"/>
      <c r="C6" s="36"/>
      <c r="D6" s="37"/>
      <c r="E6" s="37"/>
      <c r="F6" s="37"/>
      <c r="G6" s="35"/>
      <c r="H6" s="35"/>
    </row>
    <row r="7">
      <c r="A7" s="35"/>
      <c r="B7" s="35"/>
      <c r="C7" s="36"/>
      <c r="D7" s="37"/>
      <c r="E7" s="37"/>
      <c r="F7" s="37"/>
      <c r="G7" s="35"/>
      <c r="H7" s="35"/>
    </row>
    <row r="8">
      <c r="A8" s="35"/>
      <c r="B8" s="35"/>
      <c r="C8" s="38"/>
      <c r="D8" s="39"/>
      <c r="E8" s="39"/>
      <c r="F8" s="37"/>
      <c r="G8" s="40"/>
      <c r="H8" s="40"/>
    </row>
    <row r="9">
      <c r="A9" s="41" t="s">
        <v>16</v>
      </c>
      <c r="B9" s="42"/>
      <c r="F9" s="37"/>
      <c r="G9" s="35"/>
      <c r="H9" s="35"/>
    </row>
    <row r="10">
      <c r="A10" s="41" t="s">
        <v>17</v>
      </c>
      <c r="B10" s="43" t="s">
        <v>18</v>
      </c>
      <c r="F10" s="37"/>
      <c r="G10" s="35"/>
      <c r="H10" s="35"/>
    </row>
    <row r="11">
      <c r="A11" s="41" t="s">
        <v>20</v>
      </c>
      <c r="B11" s="43" t="s">
        <v>21</v>
      </c>
      <c r="F11" s="37"/>
      <c r="G11" s="40"/>
      <c r="H11" s="40"/>
    </row>
    <row r="12">
      <c r="A12" s="41" t="s">
        <v>23</v>
      </c>
      <c r="B12" s="44" t="s">
        <v>25</v>
      </c>
      <c r="F12" s="37"/>
      <c r="G12" s="35"/>
      <c r="H12" s="35"/>
    </row>
    <row r="13">
      <c r="A13" s="41" t="s">
        <v>26</v>
      </c>
      <c r="B13" s="43" t="s">
        <v>27</v>
      </c>
      <c r="F13" s="37"/>
      <c r="G13" s="35"/>
      <c r="H13" s="35"/>
    </row>
    <row r="14">
      <c r="A14" s="45" t="s">
        <v>28</v>
      </c>
      <c r="B14" s="46" t="s">
        <v>30</v>
      </c>
      <c r="F14" s="37"/>
      <c r="G14" s="40"/>
      <c r="H14" s="40"/>
    </row>
    <row r="15">
      <c r="A15" s="41" t="s">
        <v>32</v>
      </c>
      <c r="B15" s="44" t="s">
        <v>33</v>
      </c>
      <c r="F15" s="37"/>
      <c r="G15" s="35"/>
      <c r="H15" s="35"/>
    </row>
    <row r="16">
      <c r="A16" s="41" t="s">
        <v>34</v>
      </c>
      <c r="B16" s="43" t="s">
        <v>36</v>
      </c>
      <c r="F16" s="37"/>
      <c r="G16" s="35"/>
      <c r="H16" s="35"/>
    </row>
    <row r="17">
      <c r="A17" s="47" t="s">
        <v>37</v>
      </c>
      <c r="B17" s="48" t="s">
        <v>38</v>
      </c>
      <c r="F17" s="39"/>
      <c r="G17" s="35"/>
      <c r="H17" s="35"/>
    </row>
    <row r="18">
      <c r="A18" s="35"/>
      <c r="B18" s="35"/>
      <c r="C18" s="49"/>
      <c r="D18" s="49"/>
      <c r="F18" s="37"/>
      <c r="G18" s="35"/>
      <c r="H18" s="35"/>
    </row>
    <row r="19">
      <c r="A19" s="35"/>
      <c r="B19" s="35"/>
      <c r="C19" s="49"/>
      <c r="D19" s="49"/>
      <c r="F19" s="37"/>
      <c r="G19" s="35"/>
      <c r="H19" s="35"/>
    </row>
    <row r="20">
      <c r="A20" s="42"/>
      <c r="B20" s="42"/>
      <c r="F20" s="39"/>
      <c r="G20" s="35"/>
      <c r="H20" s="35"/>
    </row>
    <row r="21">
      <c r="A21" s="42"/>
      <c r="B21" s="42"/>
      <c r="F21" s="37"/>
      <c r="G21" s="35"/>
      <c r="H21" s="35"/>
    </row>
    <row r="22">
      <c r="A22" s="51"/>
      <c r="B22" s="42" t="s">
        <v>43</v>
      </c>
      <c r="F22" s="37"/>
      <c r="G22" s="35"/>
      <c r="H22" s="35"/>
    </row>
    <row r="23">
      <c r="A23" s="42" t="s">
        <v>44</v>
      </c>
      <c r="B23" s="42" t="s">
        <v>45</v>
      </c>
      <c r="F23" s="39"/>
      <c r="G23" s="35"/>
      <c r="H23" s="35"/>
    </row>
    <row r="24">
      <c r="A24" s="35"/>
      <c r="B24" s="35"/>
      <c r="C24" s="38"/>
      <c r="D24" s="39"/>
      <c r="E24" s="39"/>
      <c r="F24" s="37"/>
      <c r="G24" s="35"/>
      <c r="H24" s="35"/>
    </row>
    <row r="25">
      <c r="A25" s="35"/>
      <c r="B25" s="35"/>
      <c r="C25" s="38"/>
      <c r="D25" s="39"/>
      <c r="E25" s="39"/>
      <c r="F25" s="37"/>
      <c r="G25" s="35"/>
      <c r="H25" s="35"/>
    </row>
    <row r="26">
      <c r="A26" s="35"/>
      <c r="B26" s="52"/>
      <c r="C26" s="38"/>
      <c r="D26" s="39"/>
      <c r="E26" s="39"/>
      <c r="F26" s="39"/>
      <c r="G26" s="35"/>
      <c r="H26" s="35"/>
    </row>
    <row r="27">
      <c r="A27" s="35"/>
      <c r="B27" s="35"/>
      <c r="C27" s="38"/>
      <c r="D27" s="39"/>
      <c r="E27" s="39"/>
      <c r="F27" s="37"/>
      <c r="G27" s="35"/>
      <c r="H27" s="35"/>
    </row>
    <row r="28">
      <c r="A28" s="35"/>
      <c r="B28" s="35"/>
      <c r="C28" s="38"/>
      <c r="D28" s="39"/>
      <c r="E28" s="39"/>
      <c r="F28" s="37"/>
      <c r="G28" s="35"/>
      <c r="H28" s="35"/>
    </row>
    <row r="29">
      <c r="A29" s="35"/>
      <c r="B29" s="52"/>
      <c r="C29" s="38"/>
      <c r="D29" s="39"/>
      <c r="E29" s="39"/>
      <c r="F29" s="39"/>
      <c r="G29" s="35"/>
      <c r="H29" s="35"/>
    </row>
    <row r="30">
      <c r="A30" s="35"/>
      <c r="B30" s="35"/>
      <c r="C30" s="38"/>
      <c r="D30" s="39"/>
      <c r="E30" s="39"/>
      <c r="F30" s="37"/>
      <c r="G30" s="35"/>
      <c r="H30" s="35"/>
    </row>
    <row r="31">
      <c r="A31" s="35"/>
      <c r="B31" s="35"/>
      <c r="C31" s="38"/>
      <c r="D31" s="39"/>
      <c r="E31" s="39"/>
      <c r="F31" s="37"/>
      <c r="G31" s="35"/>
      <c r="H31" s="35"/>
    </row>
    <row r="32">
      <c r="A32" s="35"/>
      <c r="B32" s="52"/>
      <c r="C32" s="38"/>
      <c r="D32" s="39"/>
      <c r="E32" s="39"/>
      <c r="F32" s="39"/>
      <c r="G32" s="35"/>
      <c r="H32" s="35"/>
    </row>
    <row r="33">
      <c r="A33" s="35"/>
      <c r="B33" s="35"/>
      <c r="C33" s="38"/>
      <c r="D33" s="39"/>
      <c r="E33" s="39"/>
      <c r="F33" s="37"/>
      <c r="G33" s="35"/>
      <c r="H33" s="35"/>
    </row>
    <row r="34">
      <c r="A34" s="35"/>
      <c r="B34" s="35"/>
      <c r="C34" s="38"/>
      <c r="D34" s="39"/>
      <c r="E34" s="39"/>
      <c r="F34" s="37"/>
      <c r="G34" s="35"/>
      <c r="H34" s="3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63"/>
    <col customWidth="1" min="3" max="3" width="12.0"/>
    <col customWidth="1" min="4" max="4" width="16.88"/>
    <col customWidth="1" min="5" max="5" width="22.63"/>
    <col customWidth="1" min="6" max="6" width="31.88"/>
    <col customWidth="1" min="7" max="7" width="10.38"/>
    <col customWidth="1" min="8" max="8" width="18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>
      <c r="A2" s="5" t="s">
        <v>8</v>
      </c>
      <c r="B2" s="6" t="s">
        <v>9</v>
      </c>
      <c r="C2" s="7">
        <v>0.018</v>
      </c>
      <c r="D2" s="8">
        <f>4*34</f>
        <v>136</v>
      </c>
      <c r="E2" s="8">
        <f>D2/C2</f>
        <v>7555.555556</v>
      </c>
      <c r="F2" s="9"/>
      <c r="G2" s="10">
        <v>60.0</v>
      </c>
      <c r="H2" s="10">
        <v>7600.0</v>
      </c>
    </row>
    <row r="3">
      <c r="A3" s="11" t="s">
        <v>10</v>
      </c>
      <c r="B3" s="12"/>
      <c r="C3" s="13"/>
      <c r="D3" s="14"/>
      <c r="E3" s="14"/>
      <c r="F3" s="9"/>
      <c r="G3" s="15"/>
      <c r="H3" s="15"/>
    </row>
    <row r="4">
      <c r="A4" s="16" t="s">
        <v>11</v>
      </c>
      <c r="B4" s="17"/>
      <c r="C4" s="18"/>
      <c r="D4" s="19"/>
      <c r="E4" s="19"/>
      <c r="F4" s="20"/>
      <c r="G4" s="21"/>
      <c r="H4" s="22"/>
    </row>
    <row r="5">
      <c r="A5" s="23" t="s">
        <v>12</v>
      </c>
      <c r="B5" s="6" t="s">
        <v>9</v>
      </c>
      <c r="C5" s="25">
        <v>0.015</v>
      </c>
      <c r="D5" s="28">
        <f>4*59</f>
        <v>236</v>
      </c>
      <c r="E5" s="8">
        <f>D5/C5</f>
        <v>15733.33333</v>
      </c>
      <c r="F5" s="31"/>
      <c r="G5" s="33">
        <v>70.0</v>
      </c>
      <c r="H5" s="33">
        <v>34000.0</v>
      </c>
    </row>
    <row r="6">
      <c r="A6" s="11" t="s">
        <v>13</v>
      </c>
      <c r="B6" s="12"/>
      <c r="C6" s="13"/>
      <c r="D6" s="14"/>
      <c r="E6" s="14"/>
      <c r="F6" s="9"/>
      <c r="G6" s="15"/>
      <c r="H6" s="15"/>
    </row>
    <row r="7">
      <c r="A7" s="16" t="s">
        <v>14</v>
      </c>
      <c r="B7" s="17"/>
      <c r="C7" s="18"/>
      <c r="D7" s="19"/>
      <c r="E7" s="19"/>
      <c r="F7" s="20"/>
      <c r="G7" s="21"/>
      <c r="H7" s="22"/>
    </row>
    <row r="8">
      <c r="A8" s="23" t="s">
        <v>15</v>
      </c>
      <c r="B8" s="6" t="s">
        <v>9</v>
      </c>
      <c r="C8" s="25">
        <f>2.904-2.861</f>
        <v>0.043</v>
      </c>
      <c r="D8" s="28">
        <f>4*150</f>
        <v>600</v>
      </c>
      <c r="E8" s="8">
        <f>D8/C8</f>
        <v>13953.48837</v>
      </c>
      <c r="F8" s="31"/>
      <c r="G8" s="33">
        <v>70.0</v>
      </c>
      <c r="H8" s="33">
        <v>27500.0</v>
      </c>
    </row>
    <row r="9">
      <c r="A9" s="11" t="s">
        <v>19</v>
      </c>
      <c r="B9" s="12"/>
      <c r="C9" s="13"/>
      <c r="D9" s="14"/>
      <c r="E9" s="14"/>
      <c r="F9" s="9"/>
      <c r="G9" s="15"/>
      <c r="H9" s="15"/>
    </row>
    <row r="10">
      <c r="A10" s="16" t="s">
        <v>22</v>
      </c>
      <c r="B10" s="17"/>
      <c r="C10" s="18"/>
      <c r="D10" s="19"/>
      <c r="E10" s="19"/>
      <c r="F10" s="20"/>
      <c r="G10" s="21"/>
      <c r="H10" s="22"/>
    </row>
    <row r="11">
      <c r="A11" s="23" t="s">
        <v>24</v>
      </c>
      <c r="B11" s="6" t="s">
        <v>9</v>
      </c>
      <c r="C11" s="25">
        <f>3.251-2.863</f>
        <v>0.388</v>
      </c>
      <c r="D11" s="28">
        <f>4*98</f>
        <v>392</v>
      </c>
      <c r="E11" s="8">
        <f>D11/C11</f>
        <v>1010.309278</v>
      </c>
      <c r="F11" s="31"/>
      <c r="G11" s="33">
        <v>70.0</v>
      </c>
      <c r="H11" s="33">
        <v>47200.0</v>
      </c>
    </row>
    <row r="12">
      <c r="A12" s="11" t="s">
        <v>29</v>
      </c>
      <c r="B12" s="12"/>
      <c r="C12" s="13"/>
      <c r="D12" s="14"/>
      <c r="E12" s="14"/>
      <c r="F12" s="9"/>
      <c r="G12" s="15"/>
      <c r="H12" s="15"/>
    </row>
    <row r="13">
      <c r="A13" s="16" t="s">
        <v>31</v>
      </c>
      <c r="B13" s="17"/>
      <c r="C13" s="18"/>
      <c r="D13" s="19"/>
      <c r="E13" s="19"/>
      <c r="F13" s="20"/>
      <c r="G13" s="21"/>
      <c r="H13" s="22"/>
    </row>
    <row r="14">
      <c r="A14" s="23" t="s">
        <v>35</v>
      </c>
      <c r="B14" s="6" t="s">
        <v>9</v>
      </c>
      <c r="C14" s="25">
        <f>2.899-2.862</f>
        <v>0.037</v>
      </c>
      <c r="D14" s="28">
        <f>4*34</f>
        <v>136</v>
      </c>
      <c r="E14" s="8">
        <f>D14/C14</f>
        <v>3675.675676</v>
      </c>
      <c r="F14" s="31"/>
      <c r="G14" s="33">
        <v>70.0</v>
      </c>
      <c r="H14" s="33">
        <v>24000.0</v>
      </c>
    </row>
    <row r="15">
      <c r="A15" s="11" t="s">
        <v>39</v>
      </c>
      <c r="B15" s="12"/>
      <c r="C15" s="13"/>
      <c r="D15" s="14"/>
      <c r="E15" s="14"/>
      <c r="F15" s="9"/>
      <c r="G15" s="15"/>
      <c r="H15" s="15"/>
    </row>
    <row r="16">
      <c r="A16" s="16" t="s">
        <v>40</v>
      </c>
      <c r="B16" s="17"/>
      <c r="C16" s="18"/>
      <c r="D16" s="19"/>
      <c r="E16" s="19"/>
      <c r="F16" s="20"/>
      <c r="G16" s="21"/>
      <c r="H16" s="22"/>
    </row>
    <row r="17">
      <c r="A17" s="5" t="s">
        <v>41</v>
      </c>
      <c r="B17" s="50" t="s">
        <v>42</v>
      </c>
      <c r="C17" s="7">
        <f>0.89-0.625</f>
        <v>0.265</v>
      </c>
      <c r="D17" s="8">
        <f>4*6</f>
        <v>24</v>
      </c>
      <c r="E17" s="8">
        <f t="shared" ref="E17:E34" si="1">D17/C17</f>
        <v>90.56603774</v>
      </c>
      <c r="F17" s="53">
        <f>AVERAGE(E17:E19)</f>
        <v>1117.057366</v>
      </c>
      <c r="G17" s="54"/>
      <c r="H17" s="54"/>
    </row>
    <row r="18">
      <c r="A18" s="11" t="s">
        <v>46</v>
      </c>
      <c r="B18" s="12"/>
      <c r="C18" s="55">
        <f>0.845-0.625</f>
        <v>0.22</v>
      </c>
      <c r="D18" s="56">
        <f>4*106</f>
        <v>424</v>
      </c>
      <c r="E18" s="56">
        <f t="shared" si="1"/>
        <v>1927.272727</v>
      </c>
      <c r="F18" s="9"/>
      <c r="G18" s="15"/>
      <c r="H18" s="15"/>
    </row>
    <row r="19">
      <c r="A19" s="16" t="s">
        <v>47</v>
      </c>
      <c r="B19" s="17"/>
      <c r="C19" s="57">
        <f>0.721-0.625</f>
        <v>0.096</v>
      </c>
      <c r="D19" s="58">
        <f>4*32</f>
        <v>128</v>
      </c>
      <c r="E19" s="58">
        <f t="shared" si="1"/>
        <v>1333.333333</v>
      </c>
      <c r="F19" s="20"/>
      <c r="G19" s="21"/>
      <c r="H19" s="22"/>
    </row>
    <row r="20">
      <c r="A20" s="5" t="s">
        <v>48</v>
      </c>
      <c r="B20" s="50" t="s">
        <v>42</v>
      </c>
      <c r="C20" s="7">
        <f>0.803-0.625</f>
        <v>0.178</v>
      </c>
      <c r="D20" s="8">
        <f>4*17</f>
        <v>68</v>
      </c>
      <c r="E20" s="8">
        <f t="shared" si="1"/>
        <v>382.0224719</v>
      </c>
      <c r="F20" s="53">
        <f>AVERAGE(E20:E22)</f>
        <v>488.2235661</v>
      </c>
      <c r="G20" s="54"/>
      <c r="H20" s="54"/>
      <c r="J20" s="42"/>
      <c r="K20" s="42"/>
      <c r="L20" s="59"/>
      <c r="M20" s="60"/>
      <c r="N20" s="60"/>
      <c r="O20" s="60"/>
      <c r="P20" s="42"/>
      <c r="Q20" s="42"/>
    </row>
    <row r="21">
      <c r="A21" s="11" t="s">
        <v>49</v>
      </c>
      <c r="B21" s="12"/>
      <c r="C21" s="55">
        <f>1.036-0.625</f>
        <v>0.411</v>
      </c>
      <c r="D21" s="56">
        <f>4*55</f>
        <v>220</v>
      </c>
      <c r="E21" s="56">
        <f t="shared" si="1"/>
        <v>535.2798054</v>
      </c>
      <c r="F21" s="9"/>
      <c r="G21" s="15"/>
      <c r="H21" s="15"/>
    </row>
    <row r="22">
      <c r="A22" s="16" t="s">
        <v>50</v>
      </c>
      <c r="B22" s="17"/>
      <c r="C22" s="57">
        <f>0.815-0.625</f>
        <v>0.19</v>
      </c>
      <c r="D22" s="58">
        <f>4*26</f>
        <v>104</v>
      </c>
      <c r="E22" s="58">
        <f t="shared" si="1"/>
        <v>547.3684211</v>
      </c>
      <c r="F22" s="20"/>
      <c r="G22" s="21"/>
      <c r="H22" s="22"/>
    </row>
    <row r="23">
      <c r="A23" s="5" t="s">
        <v>51</v>
      </c>
      <c r="B23" s="50" t="s">
        <v>42</v>
      </c>
      <c r="C23" s="7">
        <f>0.832-0.625</f>
        <v>0.207</v>
      </c>
      <c r="D23" s="8">
        <f>4*46</f>
        <v>184</v>
      </c>
      <c r="E23" s="8">
        <f t="shared" si="1"/>
        <v>888.8888889</v>
      </c>
      <c r="F23" s="53">
        <f>AVERAGE(E23:E25)</f>
        <v>1165.654759</v>
      </c>
      <c r="G23" s="54"/>
      <c r="H23" s="54"/>
    </row>
    <row r="24">
      <c r="A24" s="11" t="s">
        <v>52</v>
      </c>
      <c r="B24" s="12"/>
      <c r="C24" s="55">
        <f>0.861-0.625</f>
        <v>0.236</v>
      </c>
      <c r="D24" s="56">
        <f>4*50</f>
        <v>200</v>
      </c>
      <c r="E24" s="56">
        <f t="shared" si="1"/>
        <v>847.4576271</v>
      </c>
      <c r="F24" s="9"/>
      <c r="G24" s="15"/>
      <c r="H24" s="15"/>
    </row>
    <row r="25">
      <c r="A25" s="16" t="s">
        <v>53</v>
      </c>
      <c r="B25" s="17"/>
      <c r="C25" s="57">
        <f>0.884-0.625</f>
        <v>0.259</v>
      </c>
      <c r="D25" s="58">
        <f>4*114</f>
        <v>456</v>
      </c>
      <c r="E25" s="58">
        <f t="shared" si="1"/>
        <v>1760.617761</v>
      </c>
      <c r="F25" s="20"/>
      <c r="G25" s="21"/>
      <c r="H25" s="22"/>
    </row>
    <row r="26">
      <c r="A26" s="5" t="s">
        <v>54</v>
      </c>
      <c r="B26" s="50" t="s">
        <v>42</v>
      </c>
      <c r="C26" s="7">
        <f>0.733-0.625</f>
        <v>0.108</v>
      </c>
      <c r="D26" s="8">
        <f>4*33</f>
        <v>132</v>
      </c>
      <c r="E26" s="8">
        <f t="shared" si="1"/>
        <v>1222.222222</v>
      </c>
      <c r="F26" s="53">
        <f>AVERAGE(E26:E28)</f>
        <v>1995.085498</v>
      </c>
      <c r="G26" s="54"/>
      <c r="H26" s="54"/>
    </row>
    <row r="27">
      <c r="A27" s="11" t="s">
        <v>55</v>
      </c>
      <c r="B27" s="12"/>
      <c r="C27" s="55">
        <f>0.772-0.625</f>
        <v>0.147</v>
      </c>
      <c r="D27" s="56">
        <f>4*129</f>
        <v>516</v>
      </c>
      <c r="E27" s="56">
        <f t="shared" si="1"/>
        <v>3510.204082</v>
      </c>
      <c r="F27" s="9"/>
      <c r="G27" s="15"/>
      <c r="H27" s="15"/>
    </row>
    <row r="28">
      <c r="A28" s="16" t="s">
        <v>56</v>
      </c>
      <c r="B28" s="17"/>
      <c r="C28" s="57">
        <f>0.89-0.625</f>
        <v>0.265</v>
      </c>
      <c r="D28" s="58">
        <f>4*83</f>
        <v>332</v>
      </c>
      <c r="E28" s="58">
        <f t="shared" si="1"/>
        <v>1252.830189</v>
      </c>
      <c r="F28" s="20"/>
      <c r="G28" s="21"/>
      <c r="H28" s="22"/>
    </row>
    <row r="29">
      <c r="A29" s="5" t="s">
        <v>57</v>
      </c>
      <c r="B29" s="50" t="s">
        <v>42</v>
      </c>
      <c r="C29" s="7">
        <f>0.764-0.625</f>
        <v>0.139</v>
      </c>
      <c r="D29" s="8">
        <f>4*43</f>
        <v>172</v>
      </c>
      <c r="E29" s="8">
        <f t="shared" si="1"/>
        <v>1237.410072</v>
      </c>
      <c r="F29" s="53">
        <f>AVERAGE(E29:E31)</f>
        <v>984.4025007</v>
      </c>
      <c r="G29" s="54"/>
      <c r="H29" s="54"/>
    </row>
    <row r="30">
      <c r="A30" s="11" t="s">
        <v>58</v>
      </c>
      <c r="B30" s="12"/>
      <c r="C30" s="55">
        <f>0.787-0.625</f>
        <v>0.162</v>
      </c>
      <c r="D30" s="56">
        <f>4*48</f>
        <v>192</v>
      </c>
      <c r="E30" s="56">
        <f t="shared" si="1"/>
        <v>1185.185185</v>
      </c>
      <c r="F30" s="9"/>
      <c r="G30" s="15"/>
      <c r="H30" s="15"/>
    </row>
    <row r="31">
      <c r="A31" s="16" t="s">
        <v>59</v>
      </c>
      <c r="B31" s="17"/>
      <c r="C31" s="57">
        <f>0.723-0.625</f>
        <v>0.098</v>
      </c>
      <c r="D31" s="58">
        <f>4*13</f>
        <v>52</v>
      </c>
      <c r="E31" s="58">
        <f t="shared" si="1"/>
        <v>530.6122449</v>
      </c>
      <c r="F31" s="20"/>
      <c r="G31" s="21"/>
      <c r="H31" s="22"/>
    </row>
    <row r="32">
      <c r="A32" s="5" t="s">
        <v>60</v>
      </c>
      <c r="B32" s="50" t="s">
        <v>42</v>
      </c>
      <c r="C32" s="7">
        <f>0.825-0.625</f>
        <v>0.2</v>
      </c>
      <c r="D32" s="8">
        <f>4*14</f>
        <v>56</v>
      </c>
      <c r="E32" s="8">
        <f t="shared" si="1"/>
        <v>280</v>
      </c>
      <c r="F32" s="53">
        <f>AVERAGE(E32:E34)</f>
        <v>235.7933386</v>
      </c>
      <c r="G32" s="54"/>
      <c r="H32" s="54"/>
    </row>
    <row r="33">
      <c r="A33" s="11" t="s">
        <v>61</v>
      </c>
      <c r="B33" s="12"/>
      <c r="C33" s="55">
        <f>0.83-0.625</f>
        <v>0.205</v>
      </c>
      <c r="D33" s="56">
        <f>4*10</f>
        <v>40</v>
      </c>
      <c r="E33" s="56">
        <f t="shared" si="1"/>
        <v>195.1219512</v>
      </c>
      <c r="F33" s="9"/>
      <c r="G33" s="15"/>
      <c r="H33" s="15"/>
    </row>
    <row r="34">
      <c r="A34" s="16" t="s">
        <v>62</v>
      </c>
      <c r="B34" s="17"/>
      <c r="C34" s="57">
        <f>0.935-0.625</f>
        <v>0.31</v>
      </c>
      <c r="D34" s="58">
        <f>4*18</f>
        <v>72</v>
      </c>
      <c r="E34" s="58">
        <f t="shared" si="1"/>
        <v>232.2580645</v>
      </c>
      <c r="F34" s="20"/>
      <c r="G34" s="21"/>
      <c r="H34" s="22"/>
    </row>
  </sheetData>
  <dataValidations>
    <dataValidation type="list" allowBlank="1" showErrorMessage="1" sqref="B2 B5 B8 B11 B14 B17 B20 B23 B26 B29 B32">
      <formula1>"Vei,Gjerde,fasade"</formula1>
    </dataValidation>
  </dataValidation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31F5EF14D3C46A25DF7BE346CE163" ma:contentTypeVersion="12" ma:contentTypeDescription="Create a new document." ma:contentTypeScope="" ma:versionID="5516d4950f11fc00375256d6a6f50b99">
  <xsd:schema xmlns:xsd="http://www.w3.org/2001/XMLSchema" xmlns:xs="http://www.w3.org/2001/XMLSchema" xmlns:p="http://schemas.microsoft.com/office/2006/metadata/properties" xmlns:ns2="9d226a53-2925-4abb-935f-8aef38cb7cec" xmlns:ns3="4060dee7-0d27-43f6-b6a2-8e210c187b83" targetNamespace="http://schemas.microsoft.com/office/2006/metadata/properties" ma:root="true" ma:fieldsID="ae568c0654ddc4599ebb7307f3fc931d" ns2:_="" ns3:_="">
    <xsd:import namespace="9d226a53-2925-4abb-935f-8aef38cb7cec"/>
    <xsd:import namespace="4060dee7-0d27-43f6-b6a2-8e210c187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26a53-2925-4abb-935f-8aef38cb7c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0dee7-0d27-43f6-b6a2-8e210c187b8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5396e8-24d9-4d12-b81a-dd86ec907c0c}" ma:internalName="TaxCatchAll" ma:showField="CatchAllData" ma:web="4060dee7-0d27-43f6-b6a2-8e210c187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226a53-2925-4abb-935f-8aef38cb7cec">
      <Terms xmlns="http://schemas.microsoft.com/office/infopath/2007/PartnerControls"/>
    </lcf76f155ced4ddcb4097134ff3c332f>
    <TaxCatchAll xmlns="4060dee7-0d27-43f6-b6a2-8e210c187b83" xsi:nil="true"/>
  </documentManagement>
</p:properties>
</file>

<file path=customXml/itemProps1.xml><?xml version="1.0" encoding="utf-8"?>
<ds:datastoreItem xmlns:ds="http://schemas.openxmlformats.org/officeDocument/2006/customXml" ds:itemID="{1F458A7E-D9BA-4A7A-B7CB-F471E08894EF}"/>
</file>

<file path=customXml/itemProps2.xml><?xml version="1.0" encoding="utf-8"?>
<ds:datastoreItem xmlns:ds="http://schemas.openxmlformats.org/officeDocument/2006/customXml" ds:itemID="{29392C68-BEAD-4D21-BE69-65D2E1E9B078}"/>
</file>

<file path=customXml/itemProps3.xml><?xml version="1.0" encoding="utf-8"?>
<ds:datastoreItem xmlns:ds="http://schemas.openxmlformats.org/officeDocument/2006/customXml" ds:itemID="{62EC8334-CD80-4EDC-A731-651351575CB2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0x010100F6A31F5EF14D3C46A25DF7BE346CE163</vt:lpwstr>
  </property>
  <property fmtid="{D5CDD505-2E9C-101B-9397-08002B2CF9AE}" pid="3" name="Order">
    <vt:r8>3800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