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1BFAC3CCFF04BAB9AB7D12D12C407BE4ADC64B7F" xr6:coauthVersionLast="47" xr6:coauthVersionMax="47" xr10:uidLastSave="{E47EE6D9-E1D2-43E2-9495-8603678447B7}"/>
  <bookViews>
    <workbookView xWindow="0" yWindow="0" windowWidth="0" windowHeight="0" activeTab="1" xr2:uid="{00000000-000D-0000-FFFF-FFFF00000000}"/>
  </bookViews>
  <sheets>
    <sheet name="README" sheetId="1" r:id="rId1"/>
    <sheet name="100-200-300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MRSEw1yhEqKluKR0yTv+yx+6zmjbGXWslo4BGOGlcU="/>
    </ext>
  </extLst>
</workbook>
</file>

<file path=xl/calcChain.xml><?xml version="1.0" encoding="utf-8"?>
<calcChain xmlns="http://schemas.openxmlformats.org/spreadsheetml/2006/main">
  <c r="F144" i="2" l="1"/>
  <c r="D142" i="2"/>
  <c r="D141" i="2"/>
  <c r="E141" i="2" s="1"/>
  <c r="D140" i="2"/>
  <c r="E140" i="2" s="1"/>
  <c r="F143" i="2" s="1"/>
  <c r="D139" i="2"/>
  <c r="E139" i="2" s="1"/>
  <c r="F139" i="2" s="1"/>
  <c r="D138" i="2"/>
  <c r="E138" i="2" s="1"/>
  <c r="D137" i="2"/>
  <c r="E137" i="2" s="1"/>
  <c r="D136" i="2"/>
  <c r="E136" i="2" s="1"/>
  <c r="F136" i="2" s="1"/>
  <c r="D135" i="2"/>
  <c r="E135" i="2" s="1"/>
  <c r="D134" i="2"/>
  <c r="E134" i="2" s="1"/>
  <c r="D133" i="2"/>
  <c r="E133" i="2" s="1"/>
  <c r="F133" i="2" s="1"/>
  <c r="E132" i="2"/>
  <c r="D131" i="2"/>
  <c r="E131" i="2" s="1"/>
  <c r="D130" i="2"/>
  <c r="E130" i="2" s="1"/>
  <c r="F130" i="2" s="1"/>
  <c r="D129" i="2"/>
  <c r="E129" i="2" s="1"/>
  <c r="D128" i="2"/>
  <c r="E128" i="2" s="1"/>
  <c r="D127" i="2"/>
  <c r="E127" i="2" s="1"/>
  <c r="F127" i="2" s="1"/>
  <c r="D126" i="2"/>
  <c r="E126" i="2" s="1"/>
  <c r="D125" i="2"/>
  <c r="E125" i="2" s="1"/>
  <c r="D124" i="2"/>
  <c r="E124" i="2" s="1"/>
  <c r="F124" i="2" s="1"/>
  <c r="D123" i="2"/>
  <c r="E123" i="2" s="1"/>
  <c r="D122" i="2"/>
  <c r="E122" i="2" s="1"/>
  <c r="D121" i="2"/>
  <c r="E121" i="2" s="1"/>
  <c r="F121" i="2" s="1"/>
  <c r="D120" i="2"/>
  <c r="E120" i="2" s="1"/>
  <c r="D119" i="2"/>
  <c r="E119" i="2" s="1"/>
  <c r="D118" i="2"/>
  <c r="E118" i="2" s="1"/>
  <c r="F118" i="2" s="1"/>
  <c r="D117" i="2"/>
  <c r="E117" i="2" s="1"/>
  <c r="D116" i="2"/>
  <c r="E116" i="2" s="1"/>
  <c r="D115" i="2"/>
  <c r="E115" i="2" s="1"/>
  <c r="F115" i="2" s="1"/>
  <c r="D114" i="2"/>
  <c r="E114" i="2" s="1"/>
  <c r="D113" i="2"/>
  <c r="E113" i="2" s="1"/>
  <c r="D112" i="2"/>
  <c r="E112" i="2" s="1"/>
  <c r="F112" i="2" s="1"/>
  <c r="D111" i="2"/>
  <c r="E111" i="2" s="1"/>
  <c r="D110" i="2"/>
  <c r="E110" i="2" s="1"/>
  <c r="D109" i="2"/>
  <c r="E109" i="2" s="1"/>
  <c r="F109" i="2" s="1"/>
  <c r="D108" i="2"/>
  <c r="E108" i="2" s="1"/>
  <c r="D107" i="2"/>
  <c r="E107" i="2" s="1"/>
  <c r="D106" i="2"/>
  <c r="E106" i="2" s="1"/>
  <c r="F106" i="2" s="1"/>
  <c r="D105" i="2"/>
  <c r="E105" i="2" s="1"/>
  <c r="D104" i="2"/>
  <c r="E104" i="2" s="1"/>
  <c r="D103" i="2"/>
  <c r="E103" i="2" s="1"/>
  <c r="F103" i="2" s="1"/>
  <c r="J102" i="2"/>
  <c r="D102" i="2"/>
  <c r="E102" i="2" s="1"/>
  <c r="J101" i="2"/>
  <c r="D101" i="2"/>
  <c r="E101" i="2" s="1"/>
  <c r="D100" i="2"/>
  <c r="E100" i="2" s="1"/>
  <c r="F100" i="2" s="1"/>
  <c r="D99" i="2"/>
  <c r="D97" i="2"/>
  <c r="E97" i="2" s="1"/>
  <c r="D96" i="2"/>
  <c r="E96" i="2" s="1"/>
  <c r="D95" i="2"/>
  <c r="E95" i="2" s="1"/>
  <c r="F95" i="2" s="1"/>
  <c r="D94" i="2"/>
  <c r="E94" i="2" s="1"/>
  <c r="D93" i="2"/>
  <c r="E93" i="2" s="1"/>
  <c r="D92" i="2"/>
  <c r="E92" i="2" s="1"/>
  <c r="F92" i="2" s="1"/>
  <c r="D91" i="2"/>
  <c r="E91" i="2" s="1"/>
  <c r="D90" i="2"/>
  <c r="E90" i="2" s="1"/>
  <c r="D89" i="2"/>
  <c r="E89" i="2" s="1"/>
  <c r="F89" i="2" s="1"/>
  <c r="D88" i="2"/>
  <c r="E88" i="2" s="1"/>
  <c r="D87" i="2"/>
  <c r="E87" i="2" s="1"/>
  <c r="D86" i="2"/>
  <c r="E86" i="2" s="1"/>
  <c r="F86" i="2" s="1"/>
  <c r="E85" i="2"/>
  <c r="D84" i="2"/>
  <c r="E84" i="2" s="1"/>
  <c r="D83" i="2"/>
  <c r="E83" i="2" s="1"/>
  <c r="F83" i="2" s="1"/>
  <c r="E82" i="2"/>
  <c r="D81" i="2"/>
  <c r="E81" i="2" s="1"/>
  <c r="D80" i="2"/>
  <c r="E80" i="2" s="1"/>
  <c r="F80" i="2" s="1"/>
  <c r="D79" i="2"/>
  <c r="E79" i="2" s="1"/>
  <c r="D78" i="2"/>
  <c r="E78" i="2" s="1"/>
  <c r="D77" i="2"/>
  <c r="E77" i="2" s="1"/>
  <c r="F77" i="2" s="1"/>
  <c r="D76" i="2"/>
  <c r="E76" i="2" s="1"/>
  <c r="D75" i="2"/>
  <c r="E75" i="2" s="1"/>
  <c r="D74" i="2"/>
  <c r="E74" i="2" s="1"/>
  <c r="F74" i="2" s="1"/>
  <c r="D73" i="2"/>
  <c r="E73" i="2" s="1"/>
  <c r="D72" i="2"/>
  <c r="E72" i="2" s="1"/>
  <c r="D71" i="2"/>
  <c r="E71" i="2" s="1"/>
  <c r="F71" i="2" s="1"/>
  <c r="D70" i="2"/>
  <c r="E70" i="2" s="1"/>
  <c r="D69" i="2"/>
  <c r="E69" i="2" s="1"/>
  <c r="D68" i="2"/>
  <c r="E68" i="2" s="1"/>
  <c r="F68" i="2" s="1"/>
  <c r="D67" i="2"/>
  <c r="E67" i="2" s="1"/>
  <c r="D66" i="2"/>
  <c r="E66" i="2" s="1"/>
  <c r="D65" i="2"/>
  <c r="E65" i="2" s="1"/>
  <c r="F65" i="2" s="1"/>
  <c r="D64" i="2"/>
  <c r="E64" i="2" s="1"/>
  <c r="D63" i="2"/>
  <c r="E63" i="2" s="1"/>
  <c r="D62" i="2"/>
  <c r="E62" i="2" s="1"/>
  <c r="F62" i="2" s="1"/>
  <c r="D61" i="2"/>
  <c r="E61" i="2" s="1"/>
  <c r="D60" i="2"/>
  <c r="E60" i="2" s="1"/>
  <c r="D59" i="2"/>
  <c r="E59" i="2" s="1"/>
  <c r="F59" i="2" s="1"/>
  <c r="D58" i="2"/>
  <c r="E58" i="2" s="1"/>
  <c r="D57" i="2"/>
  <c r="E57" i="2" s="1"/>
  <c r="D56" i="2"/>
  <c r="E56" i="2" s="1"/>
  <c r="F56" i="2" s="1"/>
  <c r="J55" i="2"/>
  <c r="D55" i="2"/>
  <c r="E55" i="2" s="1"/>
  <c r="J54" i="2"/>
  <c r="D54" i="2"/>
  <c r="E54" i="2" s="1"/>
  <c r="D53" i="2"/>
  <c r="E53" i="2" s="1"/>
  <c r="F53" i="2" s="1"/>
  <c r="J53" i="2" s="1"/>
  <c r="D52" i="2"/>
  <c r="D51" i="2"/>
  <c r="D50" i="2"/>
  <c r="D49" i="2"/>
  <c r="D48" i="2"/>
  <c r="D47" i="2"/>
  <c r="D46" i="2"/>
  <c r="E46" i="2" s="1"/>
  <c r="D45" i="2"/>
  <c r="E45" i="2" s="1"/>
  <c r="D44" i="2"/>
  <c r="E44" i="2" s="1"/>
  <c r="F44" i="2" s="1"/>
  <c r="D43" i="2"/>
  <c r="E43" i="2" s="1"/>
  <c r="D42" i="2"/>
  <c r="E42" i="2" s="1"/>
  <c r="D41" i="2"/>
  <c r="E41" i="2" s="1"/>
  <c r="F41" i="2" s="1"/>
  <c r="D40" i="2"/>
  <c r="E40" i="2" s="1"/>
  <c r="D39" i="2"/>
  <c r="E39" i="2" s="1"/>
  <c r="D38" i="2"/>
  <c r="E38" i="2" s="1"/>
  <c r="F38" i="2" s="1"/>
  <c r="D37" i="2"/>
  <c r="E37" i="2" s="1"/>
  <c r="D36" i="2"/>
  <c r="E36" i="2" s="1"/>
  <c r="D35" i="2"/>
  <c r="E35" i="2" s="1"/>
  <c r="F35" i="2" s="1"/>
  <c r="D34" i="2"/>
  <c r="E34" i="2" s="1"/>
  <c r="D33" i="2"/>
  <c r="E33" i="2" s="1"/>
  <c r="D32" i="2"/>
  <c r="E32" i="2" s="1"/>
  <c r="F32" i="2" s="1"/>
  <c r="D31" i="2"/>
  <c r="E31" i="2" s="1"/>
  <c r="D30" i="2"/>
  <c r="E30" i="2" s="1"/>
  <c r="D29" i="2"/>
  <c r="E29" i="2" s="1"/>
  <c r="F29" i="2" s="1"/>
  <c r="D28" i="2"/>
  <c r="E28" i="2" s="1"/>
  <c r="D27" i="2"/>
  <c r="E27" i="2" s="1"/>
  <c r="D26" i="2"/>
  <c r="E26" i="2" s="1"/>
  <c r="F26" i="2" s="1"/>
  <c r="D25" i="2"/>
  <c r="E25" i="2" s="1"/>
  <c r="D24" i="2"/>
  <c r="E24" i="2" s="1"/>
  <c r="D23" i="2"/>
  <c r="E23" i="2" s="1"/>
  <c r="F23" i="2" s="1"/>
  <c r="D22" i="2"/>
  <c r="E22" i="2" s="1"/>
  <c r="D21" i="2"/>
  <c r="E21" i="2" s="1"/>
  <c r="D20" i="2"/>
  <c r="E20" i="2" s="1"/>
  <c r="F20" i="2" s="1"/>
  <c r="D19" i="2"/>
  <c r="E19" i="2" s="1"/>
  <c r="D18" i="2"/>
  <c r="E18" i="2" s="1"/>
  <c r="D17" i="2"/>
  <c r="E17" i="2" s="1"/>
  <c r="F17" i="2" s="1"/>
  <c r="D16" i="2"/>
  <c r="E16" i="2" s="1"/>
  <c r="D15" i="2"/>
  <c r="E15" i="2" s="1"/>
  <c r="D14" i="2"/>
  <c r="E14" i="2" s="1"/>
  <c r="F14" i="2" s="1"/>
  <c r="D13" i="2"/>
  <c r="E13" i="2" s="1"/>
  <c r="D12" i="2"/>
  <c r="E12" i="2" s="1"/>
  <c r="D11" i="2"/>
  <c r="E11" i="2" s="1"/>
  <c r="F11" i="2" s="1"/>
  <c r="D10" i="2"/>
  <c r="E10" i="2" s="1"/>
  <c r="D9" i="2"/>
  <c r="E9" i="2" s="1"/>
  <c r="D8" i="2"/>
  <c r="E8" i="2" s="1"/>
  <c r="F8" i="2" s="1"/>
  <c r="D7" i="2"/>
  <c r="E7" i="2" s="1"/>
  <c r="D6" i="2"/>
  <c r="E6" i="2" s="1"/>
  <c r="D5" i="2"/>
  <c r="E5" i="2" s="1"/>
  <c r="F5" i="2" s="1"/>
  <c r="J4" i="2"/>
  <c r="D4" i="2"/>
  <c r="E4" i="2" s="1"/>
  <c r="J3" i="2"/>
  <c r="D3" i="2"/>
  <c r="E3" i="2" s="1"/>
  <c r="D2" i="2"/>
  <c r="E2" i="2" s="1"/>
  <c r="F2" i="2" s="1"/>
  <c r="J2" i="2" s="1"/>
  <c r="J100" i="2" l="1"/>
</calcChain>
</file>

<file path=xl/sharedStrings.xml><?xml version="1.0" encoding="utf-8"?>
<sst xmlns="http://schemas.openxmlformats.org/spreadsheetml/2006/main" count="348" uniqueCount="183">
  <si>
    <t>Prøve ID</t>
  </si>
  <si>
    <t>Type prøve</t>
  </si>
  <si>
    <t>total VEKT (g)</t>
  </si>
  <si>
    <t>Antall dekkpartikler</t>
  </si>
  <si>
    <t>konsentrasjon (partikler/m^2)</t>
  </si>
  <si>
    <t>konsentrasjon (punktsnitt, partikler/m^2)</t>
  </si>
  <si>
    <t>Fartsgrense</t>
  </si>
  <si>
    <t>Trafikkmengde (ÅDT)</t>
  </si>
  <si>
    <t>avstand til vei (cm)</t>
  </si>
  <si>
    <t>Stretch Average</t>
  </si>
  <si>
    <t>V101</t>
  </si>
  <si>
    <t>partikler/m²</t>
  </si>
  <si>
    <t>V102</t>
  </si>
  <si>
    <t>ÅDT</t>
  </si>
  <si>
    <t>V103</t>
  </si>
  <si>
    <t>km/h</t>
  </si>
  <si>
    <t>V104</t>
  </si>
  <si>
    <t>V105</t>
  </si>
  <si>
    <t>V106</t>
  </si>
  <si>
    <t>V107</t>
  </si>
  <si>
    <t>V108</t>
  </si>
  <si>
    <t>V109</t>
  </si>
  <si>
    <t>(...)</t>
  </si>
  <si>
    <t>Instruksjoner:</t>
  </si>
  <si>
    <t>Kolonne A</t>
  </si>
  <si>
    <t>Prøve ID - Representerer alle prøvene som er tatt iløpet av de fem forskjellige oppdragene</t>
  </si>
  <si>
    <t>Kolonne B</t>
  </si>
  <si>
    <t>Type prøver - Er en av tre alternativer: vei, fasade eller gjerde. Hvert alternativ har egen protokoll</t>
  </si>
  <si>
    <t>Kolonne C</t>
  </si>
  <si>
    <t>Total VEKT (g) - Representerer den totale innsamlede prøven, før videre prosessering</t>
  </si>
  <si>
    <t>Kolonne D</t>
  </si>
  <si>
    <t>Antall dekkpartikler - Representerer estimert antall TWP (tire wear particles) per filter. Kun 1/4 av filteret ble telt. Antallet fra 1/4 ble så ganget med 4 for å få et estimat av hele filteret. Hvert filter dekker en prøve som ble innsamlet fra et område på 38*38 cm²</t>
  </si>
  <si>
    <t>Kolonne E</t>
  </si>
  <si>
    <t>Konsentrasjon (partikler/m²) - Ved å multiplisere antall-partikler hentet fra kolonne D med 1/0.38²m² så blir enheten partikler/m²</t>
  </si>
  <si>
    <t>Kolonne F</t>
  </si>
  <si>
    <t>Konsentrasjon (punktsnitt, partikler/m²) - Er snittet av tripletten gitt partikler/m². Altså hvert punkt fra kolonne E er addert og dividert på 3.</t>
  </si>
  <si>
    <t>Kolonne G</t>
  </si>
  <si>
    <t>Fartsgrense - Kolonnen representerer fartsgrensen til veien som ligger nærmest prøveområdet.</t>
  </si>
  <si>
    <t>Kolonne H</t>
  </si>
  <si>
    <t>Trafikkmengde (ÅDT) - Dette tallet er hentet direkte ut fra SVV (Statens vegvesen) og representer et snitt av daglig trafikkvolum : https://vegkart.atlas.vegvesen.no/#/@600000,7187325,3</t>
  </si>
  <si>
    <t>Kolonne I</t>
  </si>
  <si>
    <t xml:space="preserve">Avstand til vei (cm) - Korteste veien fra triplett til trafikkert vei. Dvs. bredden til eventuelle busslommer blir og inkludert her </t>
  </si>
  <si>
    <t>Kolonne J+k</t>
  </si>
  <si>
    <t>Gj.snitt tall - Her blir det totale snittet per strekning beregnet: parikler/m², ÅDT, km/h</t>
  </si>
  <si>
    <t>*= varier i det andre datasettet</t>
  </si>
  <si>
    <t>Disclaimer</t>
  </si>
  <si>
    <t>*= prosesser er dypere beskrevet i protokollen</t>
  </si>
  <si>
    <t>Gj.snitt tall</t>
  </si>
  <si>
    <t>Vei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</si>
  <si>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</si>
  <si>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</si>
  <si>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</si>
  <si>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</si>
  <si>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</si>
  <si>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</si>
  <si>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</si>
  <si>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</si>
  <si>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</si>
  <si>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</si>
  <si>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</si>
  <si>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</si>
  <si>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</si>
  <si>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</si>
  <si>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</si>
  <si>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</si>
  <si>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</si>
  <si>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</si>
  <si>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</si>
  <si>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</si>
  <si>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</si>
  <si>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</si>
  <si>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</si>
  <si>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</si>
  <si>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</si>
  <si>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</si>
  <si>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</si>
  <si>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</si>
  <si>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</si>
  <si>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</si>
  <si>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</si>
  <si>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</si>
  <si>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</si>
  <si>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</si>
  <si>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</si>
  <si>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</si>
  <si>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</si>
  <si>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Gjerde</t>
  </si>
  <si>
    <t>V147</t>
  </si>
  <si>
    <t>fasade</t>
  </si>
  <si>
    <t>V148</t>
  </si>
  <si>
    <t>V149</t>
  </si>
  <si>
    <t>V150</t>
  </si>
  <si>
    <t>V151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</si>
  <si>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</si>
  <si>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</si>
  <si>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</si>
  <si>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</si>
  <si>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</si>
  <si>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</si>
  <si>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</si>
  <si>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</si>
  <si>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</si>
  <si>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</si>
  <si>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</si>
  <si>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</si>
  <si>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</si>
  <si>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</si>
  <si>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</si>
  <si>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</si>
  <si>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</si>
  <si>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</si>
  <si>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</si>
  <si>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</si>
  <si>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</si>
  <si>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</si>
  <si>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</si>
  <si>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</si>
  <si>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</si>
  <si>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</si>
  <si>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</si>
  <si>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</si>
  <si>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</si>
  <si>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</si>
  <si>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</si>
  <si>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</si>
  <si>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</si>
  <si>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</si>
  <si>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</si>
  <si>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</si>
  <si>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</si>
  <si>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</si>
  <si>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</si>
  <si>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</si>
  <si>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</si>
  <si>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</si>
  <si>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</si>
  <si>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</si>
  <si>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</si>
  <si>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V247</t>
  </si>
  <si>
    <t>V248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</si>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</sst>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C5E0B3"/>
        <bgColor rgb="FFC5E0B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3" borderId="5" xfId="0" applyFont="1" applyFill="1" applyBorder="1"/>
    <xf numFmtId="2" fontId="1" fillId="0" borderId="6" xfId="0" applyNumberFormat="1" applyFont="1" applyBorder="1"/>
    <xf numFmtId="2" fontId="1" fillId="4" borderId="7" xfId="0" applyNumberFormat="1" applyFont="1" applyFill="1" applyBorder="1"/>
    <xf numFmtId="2" fontId="1" fillId="5" borderId="8" xfId="0" applyNumberFormat="1" applyFont="1" applyFill="1" applyBorder="1"/>
    <xf numFmtId="0" fontId="2" fillId="0" borderId="2" xfId="0" applyFont="1" applyBorder="1"/>
    <xf numFmtId="0" fontId="2" fillId="0" borderId="9" xfId="0" applyFont="1" applyBorder="1"/>
    <xf numFmtId="0" fontId="1" fillId="3" borderId="10" xfId="0" applyFont="1" applyFill="1" applyBorder="1"/>
    <xf numFmtId="2" fontId="1" fillId="0" borderId="3" xfId="0" applyNumberFormat="1" applyFont="1" applyBorder="1"/>
    <xf numFmtId="2" fontId="1" fillId="4" borderId="11" xfId="0" applyNumberFormat="1" applyFont="1" applyFill="1" applyBorder="1"/>
    <xf numFmtId="2" fontId="2" fillId="0" borderId="2" xfId="0" applyNumberFormat="1" applyFont="1" applyBorder="1"/>
    <xf numFmtId="2" fontId="1" fillId="5" borderId="12" xfId="0" applyNumberFormat="1" applyFont="1" applyFill="1" applyBorder="1"/>
    <xf numFmtId="0" fontId="2" fillId="0" borderId="13" xfId="0" applyFont="1" applyBorder="1"/>
    <xf numFmtId="0" fontId="2" fillId="0" borderId="14" xfId="0" applyFont="1" applyBorder="1"/>
    <xf numFmtId="0" fontId="1" fillId="3" borderId="15" xfId="0" applyFont="1" applyFill="1" applyBorder="1"/>
    <xf numFmtId="2" fontId="1" fillId="0" borderId="16" xfId="0" applyNumberFormat="1" applyFont="1" applyBorder="1"/>
    <xf numFmtId="2" fontId="1" fillId="4" borderId="17" xfId="0" applyNumberFormat="1" applyFont="1" applyFill="1" applyBorder="1"/>
    <xf numFmtId="2" fontId="1" fillId="5" borderId="18" xfId="0" applyNumberFormat="1" applyFont="1" applyFill="1" applyBorder="1"/>
    <xf numFmtId="0" fontId="2" fillId="0" borderId="20" xfId="0" applyFont="1" applyBorder="1"/>
    <xf numFmtId="0" fontId="2" fillId="0" borderId="21" xfId="0" applyFont="1" applyBorder="1"/>
    <xf numFmtId="0" fontId="2" fillId="0" borderId="0" xfId="0" applyFont="1"/>
    <xf numFmtId="0" fontId="2" fillId="6" borderId="11" xfId="0" applyFont="1" applyFill="1" applyBorder="1"/>
    <xf numFmtId="0" fontId="2" fillId="0" borderId="11" xfId="0" applyFont="1" applyBorder="1"/>
    <xf numFmtId="0" fontId="2" fillId="7" borderId="11" xfId="0" applyFont="1" applyFill="1" applyBorder="1"/>
    <xf numFmtId="0" fontId="2" fillId="7" borderId="0" xfId="0" applyFont="1" applyFill="1"/>
    <xf numFmtId="2" fontId="1" fillId="0" borderId="7" xfId="0" applyNumberFormat="1" applyFont="1" applyBorder="1"/>
    <xf numFmtId="2" fontId="1" fillId="0" borderId="11" xfId="0" applyNumberFormat="1" applyFont="1" applyBorder="1"/>
    <xf numFmtId="2" fontId="1" fillId="0" borderId="17" xfId="0" applyNumberFormat="1" applyFont="1" applyBorder="1"/>
    <xf numFmtId="0" fontId="1" fillId="8" borderId="15" xfId="0" applyFont="1" applyFill="1" applyBorder="1"/>
    <xf numFmtId="2" fontId="1" fillId="8" borderId="16" xfId="0" applyNumberFormat="1" applyFont="1" applyFill="1" applyBorder="1"/>
    <xf numFmtId="2" fontId="1" fillId="8" borderId="17" xfId="0" applyNumberFormat="1" applyFont="1" applyFill="1" applyBorder="1"/>
    <xf numFmtId="2" fontId="1" fillId="8" borderId="18" xfId="0" applyNumberFormat="1" applyFont="1" applyFill="1" applyBorder="1"/>
    <xf numFmtId="0" fontId="1" fillId="3" borderId="23" xfId="0" applyFont="1" applyFill="1" applyBorder="1"/>
    <xf numFmtId="2" fontId="2" fillId="0" borderId="0" xfId="0" applyNumberFormat="1" applyFont="1"/>
    <xf numFmtId="2" fontId="2" fillId="5" borderId="0" xfId="0" applyNumberFormat="1" applyFont="1" applyFill="1"/>
    <xf numFmtId="0" fontId="2" fillId="5" borderId="0" xfId="0" applyFont="1" applyFill="1"/>
    <xf numFmtId="0" fontId="1" fillId="0" borderId="0" xfId="0" applyFont="1"/>
    <xf numFmtId="0" fontId="1" fillId="5" borderId="0" xfId="0" applyFont="1" applyFill="1"/>
    <xf numFmtId="164" fontId="1" fillId="0" borderId="0" xfId="0" applyNumberFormat="1" applyFont="1"/>
    <xf numFmtId="2" fontId="1" fillId="0" borderId="0" xfId="0" applyNumberFormat="1" applyFont="1"/>
    <xf numFmtId="2" fontId="1" fillId="5" borderId="0" xfId="0" applyNumberFormat="1" applyFont="1" applyFill="1"/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/>
    </xf>
    <xf numFmtId="0" fontId="1" fillId="2" borderId="2" xfId="0" applyFont="1" applyFill="1" applyBorder="1"/>
    <xf numFmtId="0" fontId="3" fillId="0" borderId="4" xfId="0" applyFont="1" applyBorder="1" applyAlignment="1"/>
    <xf numFmtId="0" fontId="1" fillId="0" borderId="6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9" xfId="0" applyFont="1" applyBorder="1"/>
    <xf numFmtId="0" fontId="2" fillId="2" borderId="3" xfId="0" applyFont="1" applyFill="1" applyBorder="1" applyAlignment="1"/>
    <xf numFmtId="0" fontId="1" fillId="0" borderId="1" xfId="0" applyFont="1" applyBorder="1"/>
    <xf numFmtId="0" fontId="1" fillId="0" borderId="22" xfId="0" applyFont="1" applyBorder="1"/>
    <xf numFmtId="0" fontId="1" fillId="8" borderId="16" xfId="0" applyFont="1" applyFill="1" applyBorder="1"/>
    <xf numFmtId="0" fontId="1" fillId="8" borderId="17" xfId="0" applyFont="1" applyFill="1" applyBorder="1"/>
    <xf numFmtId="0" fontId="1" fillId="8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9"/>
  <sheetViews>
    <sheetView topLeftCell="A5" workbookViewId="0"/>
  </sheetViews>
  <sheetFormatPr defaultColWidth="11.25" defaultRowHeight="15" customHeight="1"/>
  <cols>
    <col min="1" max="1" width="10.875" customWidth="1"/>
    <col min="2" max="2" width="8.75" customWidth="1"/>
    <col min="3" max="3" width="10.625" customWidth="1"/>
    <col min="4" max="4" width="15" customWidth="1"/>
    <col min="5" max="5" width="22.5" customWidth="1"/>
    <col min="6" max="6" width="30.75" customWidth="1"/>
    <col min="7" max="7" width="9.25" customWidth="1"/>
    <col min="8" max="8" width="16" customWidth="1"/>
    <col min="9" max="9" width="14.5" customWidth="1"/>
    <col min="10" max="10" width="12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6" t="s">
        <v>7</v>
      </c>
      <c r="I1" s="1" t="s">
        <v>8</v>
      </c>
      <c r="J1" s="45" t="s">
        <v>9</v>
      </c>
      <c r="K1" s="47"/>
    </row>
    <row r="2" spans="1:11">
      <c r="A2" s="2" t="s">
        <v>10</v>
      </c>
      <c r="B2" s="48"/>
      <c r="C2" s="3"/>
      <c r="D2" s="4"/>
      <c r="E2" s="4"/>
      <c r="F2" s="5"/>
      <c r="G2" s="49"/>
      <c r="H2" s="48"/>
      <c r="I2" s="48"/>
      <c r="J2" s="6"/>
      <c r="K2" s="7" t="s">
        <v>11</v>
      </c>
    </row>
    <row r="3" spans="1:11">
      <c r="A3" s="8" t="s">
        <v>12</v>
      </c>
      <c r="B3" s="50"/>
      <c r="C3" s="9"/>
      <c r="D3" s="10"/>
      <c r="E3" s="10"/>
      <c r="F3" s="12"/>
      <c r="G3" s="51"/>
      <c r="H3" s="50"/>
      <c r="I3" s="50"/>
      <c r="J3" s="13"/>
      <c r="K3" s="14" t="s">
        <v>13</v>
      </c>
    </row>
    <row r="4" spans="1:11">
      <c r="A4" s="15" t="s">
        <v>14</v>
      </c>
      <c r="B4" s="52"/>
      <c r="C4" s="16"/>
      <c r="D4" s="17"/>
      <c r="E4" s="17"/>
      <c r="F4" s="18"/>
      <c r="G4" s="53"/>
      <c r="H4" s="54"/>
      <c r="I4" s="54"/>
      <c r="J4" s="19"/>
      <c r="K4" s="20" t="s">
        <v>15</v>
      </c>
    </row>
    <row r="5" spans="1:11">
      <c r="A5" s="2" t="s">
        <v>16</v>
      </c>
      <c r="B5" s="48"/>
      <c r="C5" s="3"/>
      <c r="D5" s="4"/>
      <c r="E5" s="4"/>
      <c r="F5" s="5"/>
      <c r="G5" s="49"/>
      <c r="H5" s="48"/>
      <c r="I5" s="48"/>
      <c r="J5" s="6"/>
      <c r="K5" s="7"/>
    </row>
    <row r="6" spans="1:11">
      <c r="A6" s="8" t="s">
        <v>17</v>
      </c>
      <c r="B6" s="50"/>
      <c r="C6" s="9"/>
      <c r="D6" s="10"/>
      <c r="E6" s="10"/>
      <c r="F6" s="12"/>
      <c r="G6" s="51"/>
      <c r="H6" s="50"/>
      <c r="I6" s="50"/>
      <c r="J6" s="13"/>
      <c r="K6" s="14"/>
    </row>
    <row r="7" spans="1:11">
      <c r="A7" s="15" t="s">
        <v>18</v>
      </c>
      <c r="B7" s="52"/>
      <c r="C7" s="16"/>
      <c r="D7" s="17"/>
      <c r="E7" s="17"/>
      <c r="F7" s="18"/>
      <c r="G7" s="53"/>
      <c r="H7" s="54"/>
      <c r="I7" s="54"/>
      <c r="J7" s="13"/>
      <c r="K7" s="14"/>
    </row>
    <row r="8" spans="1:11">
      <c r="A8" s="2" t="s">
        <v>19</v>
      </c>
      <c r="B8" s="48"/>
      <c r="C8" s="3"/>
      <c r="D8" s="4"/>
      <c r="E8" s="4"/>
      <c r="F8" s="5"/>
      <c r="G8" s="49"/>
      <c r="H8" s="48"/>
      <c r="I8" s="48"/>
      <c r="J8" s="13"/>
      <c r="K8" s="14"/>
    </row>
    <row r="9" spans="1:11">
      <c r="A9" s="8" t="s">
        <v>20</v>
      </c>
      <c r="B9" s="50"/>
      <c r="C9" s="9"/>
      <c r="D9" s="10"/>
      <c r="E9" s="10"/>
      <c r="F9" s="12"/>
      <c r="G9" s="51"/>
      <c r="H9" s="50"/>
      <c r="I9" s="50"/>
      <c r="J9" s="13"/>
      <c r="K9" s="14"/>
    </row>
    <row r="10" spans="1:11">
      <c r="A10" s="15" t="s">
        <v>21</v>
      </c>
      <c r="B10" s="52"/>
      <c r="C10" s="16"/>
      <c r="D10" s="17"/>
      <c r="E10" s="17"/>
      <c r="F10" s="18"/>
      <c r="G10" s="53"/>
      <c r="H10" s="54"/>
      <c r="I10" s="54"/>
      <c r="J10" s="13"/>
      <c r="K10" s="14"/>
    </row>
    <row r="11" spans="1:11">
      <c r="A11" s="21" t="s">
        <v>22</v>
      </c>
    </row>
    <row r="15" spans="1:11">
      <c r="A15" s="22" t="s">
        <v>23</v>
      </c>
    </row>
    <row r="16" spans="1:11">
      <c r="A16" s="22" t="s">
        <v>24</v>
      </c>
      <c r="B16" s="23" t="s">
        <v>25</v>
      </c>
    </row>
    <row r="17" spans="1:2">
      <c r="A17" s="22" t="s">
        <v>26</v>
      </c>
      <c r="B17" s="23" t="s">
        <v>27</v>
      </c>
    </row>
    <row r="18" spans="1:2">
      <c r="A18" s="22" t="s">
        <v>28</v>
      </c>
      <c r="B18" s="24" t="s">
        <v>29</v>
      </c>
    </row>
    <row r="19" spans="1:2">
      <c r="A19" s="22" t="s">
        <v>30</v>
      </c>
      <c r="B19" s="23" t="s">
        <v>31</v>
      </c>
    </row>
    <row r="20" spans="1:2">
      <c r="A20" s="22" t="s">
        <v>32</v>
      </c>
      <c r="B20" s="24" t="s">
        <v>33</v>
      </c>
    </row>
    <row r="21" spans="1:2">
      <c r="A21" s="22" t="s">
        <v>34</v>
      </c>
      <c r="B21" s="24" t="s">
        <v>35</v>
      </c>
    </row>
    <row r="22" spans="1:2">
      <c r="A22" s="22" t="s">
        <v>36</v>
      </c>
      <c r="B22" s="23" t="s">
        <v>37</v>
      </c>
    </row>
    <row r="23" spans="1:2">
      <c r="A23" s="22" t="s">
        <v>38</v>
      </c>
      <c r="B23" s="23" t="s">
        <v>39</v>
      </c>
    </row>
    <row r="24" spans="1:2">
      <c r="A24" s="22" t="s">
        <v>40</v>
      </c>
      <c r="B24" s="23" t="s">
        <v>41</v>
      </c>
    </row>
    <row r="25" spans="1:2">
      <c r="A25" s="22" t="s">
        <v>42</v>
      </c>
      <c r="B25" s="23" t="s">
        <v>43</v>
      </c>
    </row>
    <row r="28" spans="1:2">
      <c r="A28" s="25"/>
      <c r="B28" s="21" t="s">
        <v>44</v>
      </c>
    </row>
    <row r="29" spans="1:2">
      <c r="A29" s="21" t="s">
        <v>45</v>
      </c>
      <c r="B29" s="21" t="s">
        <v>46</v>
      </c>
    </row>
  </sheetData>
  <mergeCells count="1">
    <mergeCell ref="J1:K1"/>
  </mergeCells>
  <dataValidations count="1">
    <dataValidation type="list" allowBlank="1" showErrorMessage="1" sqref="B2:B10" xr:uid="{00000000-0002-0000-0000-000000000000}">
      <formula1>"Vei,Bygg,Gjerde,fasade"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3"/>
  <sheetViews>
    <sheetView tabSelected="1" topLeftCell="A125" workbookViewId="0">
      <selection activeCell="F145" sqref="F145"/>
    </sheetView>
  </sheetViews>
  <sheetFormatPr defaultColWidth="11.25" defaultRowHeight="15" customHeight="1"/>
  <cols>
    <col min="1" max="1" width="10.5" customWidth="1"/>
    <col min="2" max="2" width="10.375" customWidth="1"/>
    <col min="3" max="3" width="10.625" customWidth="1"/>
    <col min="4" max="4" width="15" customWidth="1"/>
    <col min="5" max="5" width="29.375" customWidth="1"/>
    <col min="6" max="6" width="30.75" customWidth="1"/>
    <col min="7" max="7" width="14.125" customWidth="1"/>
    <col min="8" max="8" width="16" customWidth="1"/>
    <col min="9" max="9" width="14.5" customWidth="1"/>
    <col min="10" max="10" width="20" customWidth="1"/>
    <col min="11" max="11" width="28.125" customWidth="1"/>
    <col min="12" max="12" width="14.5" customWidth="1"/>
    <col min="13" max="18" width="10.5" customWidth="1"/>
    <col min="19" max="19" width="12.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6" t="s">
        <v>7</v>
      </c>
      <c r="I1" s="1" t="s">
        <v>8</v>
      </c>
      <c r="J1" s="55" t="s">
        <v>47</v>
      </c>
      <c r="K1" s="47"/>
    </row>
    <row r="2" spans="1:11" ht="15.75" customHeight="1">
      <c r="A2" s="2" t="s">
        <v>10</v>
      </c>
      <c r="B2" s="48" t="s">
        <v>48</v>
      </c>
      <c r="C2" s="3">
        <v>3.43</v>
      </c>
      <c r="D2" s="4">
        <f>4*AVERAGE(13,14,6)</f>
        <v>44</v>
      </c>
      <c r="E2" s="4">
        <f t="shared" ref="E2:E46" si="0">D2/(0.38^2)</f>
        <v>304.70914127423822</v>
      </c>
      <c r="F2" s="5">
        <f>AVERAGE(E2:E4)</f>
        <v>421.66820560172363</v>
      </c>
      <c r="G2" s="49">
        <v>40</v>
      </c>
      <c r="H2" s="48">
        <v>3100</v>
      </c>
      <c r="I2" s="48">
        <v>450</v>
      </c>
      <c r="J2" s="11">
        <f>AVERAGE(F2:F46)</f>
        <v>584.59013029650157</v>
      </c>
      <c r="K2" s="7" t="s">
        <v>11</v>
      </c>
    </row>
    <row r="3" spans="1:11" ht="15.75" customHeight="1">
      <c r="A3" s="8" t="s">
        <v>12</v>
      </c>
      <c r="B3" s="50" t="s">
        <v>48</v>
      </c>
      <c r="C3" s="9">
        <v>3.61</v>
      </c>
      <c r="D3" s="10">
        <f>4*AVERAGE(18,16,27)</f>
        <v>81.333333333333329</v>
      </c>
      <c r="E3" s="10">
        <f t="shared" si="0"/>
        <v>563.2502308402585</v>
      </c>
      <c r="F3" s="12"/>
      <c r="G3" s="51"/>
      <c r="H3" s="50"/>
      <c r="I3" s="50"/>
      <c r="J3" s="13">
        <f>AVERAGE(H2:H46)</f>
        <v>7193.333333333333</v>
      </c>
      <c r="K3" s="14" t="s">
        <v>13</v>
      </c>
    </row>
    <row r="4" spans="1:11" ht="15.75" customHeight="1">
      <c r="A4" s="15" t="s">
        <v>14</v>
      </c>
      <c r="B4" s="52" t="s">
        <v>48</v>
      </c>
      <c r="C4" s="16">
        <v>4.2</v>
      </c>
      <c r="D4" s="17">
        <f>4*AVERAGE(14,12,17)</f>
        <v>57.333333333333336</v>
      </c>
      <c r="E4" s="17">
        <f t="shared" si="0"/>
        <v>397.04524469067405</v>
      </c>
      <c r="F4" s="18"/>
      <c r="G4" s="53"/>
      <c r="H4" s="54"/>
      <c r="I4" s="54"/>
      <c r="J4" s="19">
        <f>AVERAGE(G2:G46)</f>
        <v>49.333333333333336</v>
      </c>
      <c r="K4" s="20" t="s">
        <v>15</v>
      </c>
    </row>
    <row r="5" spans="1:11" ht="15.75" customHeight="1">
      <c r="A5" s="2" t="s">
        <v>16</v>
      </c>
      <c r="B5" s="48" t="s">
        <v>48</v>
      </c>
      <c r="C5" s="3">
        <v>0.34</v>
      </c>
      <c r="D5" s="4">
        <f>4*AVERAGE(0,0,0)</f>
        <v>0</v>
      </c>
      <c r="E5" s="4">
        <f t="shared" si="0"/>
        <v>0</v>
      </c>
      <c r="F5" s="5">
        <f>AVERAGE(E5:E7)</f>
        <v>286.24192059095111</v>
      </c>
      <c r="G5" s="49">
        <v>40</v>
      </c>
      <c r="H5" s="48">
        <v>9200</v>
      </c>
      <c r="I5" s="48">
        <v>454</v>
      </c>
      <c r="J5" s="6"/>
      <c r="K5" s="7"/>
    </row>
    <row r="6" spans="1:11" ht="15.75" customHeight="1">
      <c r="A6" s="8" t="s">
        <v>17</v>
      </c>
      <c r="B6" s="50" t="s">
        <v>48</v>
      </c>
      <c r="C6" s="9">
        <v>1.0900000000000001</v>
      </c>
      <c r="D6" s="10">
        <f>4*AVERAGE(16,13,14)</f>
        <v>57.333333333333336</v>
      </c>
      <c r="E6" s="10">
        <f t="shared" si="0"/>
        <v>397.04524469067405</v>
      </c>
      <c r="F6" s="12"/>
      <c r="G6" s="51"/>
      <c r="H6" s="50"/>
      <c r="I6" s="50"/>
      <c r="J6" s="13"/>
      <c r="K6" s="14"/>
    </row>
    <row r="7" spans="1:11" ht="15.75" customHeight="1">
      <c r="A7" s="15" t="s">
        <v>18</v>
      </c>
      <c r="B7" s="52" t="s">
        <v>48</v>
      </c>
      <c r="C7" s="16">
        <v>0.86</v>
      </c>
      <c r="D7" s="17">
        <f>4*AVERAGE(15,18,17)</f>
        <v>66.666666666666671</v>
      </c>
      <c r="E7" s="17">
        <f t="shared" si="0"/>
        <v>461.68051708217916</v>
      </c>
      <c r="F7" s="18"/>
      <c r="G7" s="53"/>
      <c r="H7" s="54"/>
      <c r="I7" s="54"/>
      <c r="J7" s="13"/>
      <c r="K7" s="14"/>
    </row>
    <row r="8" spans="1:11" ht="15.75" customHeight="1">
      <c r="A8" s="2" t="s">
        <v>19</v>
      </c>
      <c r="B8" s="48" t="s">
        <v>48</v>
      </c>
      <c r="C8" s="3">
        <v>5.72</v>
      </c>
      <c r="D8" s="4">
        <f>4*AVERAGE(57,51,45)</f>
        <v>204</v>
      </c>
      <c r="E8" s="4">
        <f t="shared" si="0"/>
        <v>1412.7423822714682</v>
      </c>
      <c r="F8" s="5">
        <f>AVERAGE(E8:E10)</f>
        <v>557.09449061249609</v>
      </c>
      <c r="G8" s="49">
        <v>40</v>
      </c>
      <c r="H8" s="48">
        <v>5200</v>
      </c>
      <c r="I8" s="48">
        <v>170</v>
      </c>
      <c r="J8" s="13"/>
      <c r="K8" s="14"/>
    </row>
    <row r="9" spans="1:11" ht="15.75" customHeight="1">
      <c r="A9" s="8" t="s">
        <v>20</v>
      </c>
      <c r="B9" s="50" t="s">
        <v>48</v>
      </c>
      <c r="C9" s="9">
        <v>7.96</v>
      </c>
      <c r="D9" s="10">
        <f>4*AVERAGE(11,8,6)</f>
        <v>33.333333333333336</v>
      </c>
      <c r="E9" s="10">
        <f t="shared" si="0"/>
        <v>230.84025854108958</v>
      </c>
      <c r="F9" s="12"/>
      <c r="G9" s="51"/>
      <c r="H9" s="50"/>
      <c r="I9" s="50"/>
      <c r="J9" s="13"/>
      <c r="K9" s="14"/>
    </row>
    <row r="10" spans="1:11" ht="15.75" customHeight="1">
      <c r="A10" s="15" t="s">
        <v>21</v>
      </c>
      <c r="B10" s="52" t="s">
        <v>48</v>
      </c>
      <c r="C10" s="16">
        <v>8.82</v>
      </c>
      <c r="D10" s="17">
        <f>4*AVERAGE(1,1,1)</f>
        <v>4</v>
      </c>
      <c r="E10" s="17">
        <f t="shared" si="0"/>
        <v>27.700831024930746</v>
      </c>
      <c r="F10" s="18"/>
      <c r="G10" s="53"/>
      <c r="H10" s="54"/>
      <c r="I10" s="54"/>
      <c r="J10" s="13"/>
      <c r="K10" s="14"/>
    </row>
    <row r="11" spans="1:11" ht="15.75" customHeight="1">
      <c r="A11" s="2" t="s">
        <v>49</v>
      </c>
      <c r="B11" s="48" t="s">
        <v>48</v>
      </c>
      <c r="C11" s="3">
        <v>4.21</v>
      </c>
      <c r="D11" s="4">
        <f>4*AVERAGE(7,9,7)</f>
        <v>30.666666666666668</v>
      </c>
      <c r="E11" s="4">
        <f t="shared" si="0"/>
        <v>212.37303785780242</v>
      </c>
      <c r="F11" s="5">
        <f>AVERAGE(E11:E13)</f>
        <v>495.53708833487229</v>
      </c>
      <c r="G11" s="49">
        <v>40</v>
      </c>
      <c r="H11" s="48">
        <v>5200</v>
      </c>
      <c r="I11" s="48">
        <v>170</v>
      </c>
      <c r="J11" s="13"/>
      <c r="K11" s="14"/>
    </row>
    <row r="12" spans="1:11" ht="15.75" customHeight="1">
      <c r="A12" s="8" t="s">
        <v>50</v>
      </c>
      <c r="B12" s="50" t="s">
        <v>48</v>
      </c>
      <c r="C12" s="9">
        <v>8.3000000000000007</v>
      </c>
      <c r="D12" s="10">
        <f>4*AVERAGE(9,12,15)</f>
        <v>48</v>
      </c>
      <c r="E12" s="10">
        <f t="shared" si="0"/>
        <v>332.409972299169</v>
      </c>
      <c r="F12" s="12"/>
      <c r="G12" s="51"/>
      <c r="H12" s="50"/>
      <c r="I12" s="50"/>
      <c r="J12" s="13"/>
      <c r="K12" s="14"/>
    </row>
    <row r="13" spans="1:11" ht="15.75" customHeight="1">
      <c r="A13" s="15" t="s">
        <v>51</v>
      </c>
      <c r="B13" s="52" t="s">
        <v>48</v>
      </c>
      <c r="C13" s="16">
        <v>6.87</v>
      </c>
      <c r="D13" s="17">
        <f>4*AVERAGE(29,26,47)</f>
        <v>136</v>
      </c>
      <c r="E13" s="17">
        <f t="shared" si="0"/>
        <v>941.82825484764544</v>
      </c>
      <c r="F13" s="18"/>
      <c r="G13" s="53"/>
      <c r="H13" s="54"/>
      <c r="I13" s="54"/>
      <c r="J13" s="13"/>
      <c r="K13" s="14"/>
    </row>
    <row r="14" spans="1:11" ht="15.75" customHeight="1">
      <c r="A14" s="2" t="s">
        <v>52</v>
      </c>
      <c r="B14" s="48" t="s">
        <v>48</v>
      </c>
      <c r="C14" s="3">
        <v>4.9800000000000004</v>
      </c>
      <c r="D14" s="4">
        <f>4*AVERAGE(26,32)</f>
        <v>116</v>
      </c>
      <c r="E14" s="4">
        <f t="shared" si="0"/>
        <v>803.32409972299172</v>
      </c>
      <c r="F14" s="5">
        <f>AVERAGE(E14:E16)</f>
        <v>941.82825484764544</v>
      </c>
      <c r="G14" s="49">
        <v>40</v>
      </c>
      <c r="H14" s="48">
        <v>5200</v>
      </c>
      <c r="I14" s="48">
        <v>141</v>
      </c>
      <c r="J14" s="13"/>
      <c r="K14" s="14"/>
    </row>
    <row r="15" spans="1:11" ht="15.75" customHeight="1">
      <c r="A15" s="8" t="s">
        <v>53</v>
      </c>
      <c r="B15" s="50" t="s">
        <v>48</v>
      </c>
      <c r="C15" s="9">
        <v>5.93</v>
      </c>
      <c r="D15" s="10">
        <f>4*AVERAGE(27,33)</f>
        <v>120</v>
      </c>
      <c r="E15" s="10">
        <f t="shared" si="0"/>
        <v>831.02493074792244</v>
      </c>
      <c r="F15" s="12"/>
      <c r="G15" s="51"/>
      <c r="H15" s="50"/>
      <c r="I15" s="50"/>
      <c r="J15" s="13"/>
      <c r="K15" s="14"/>
    </row>
    <row r="16" spans="1:11" ht="15.75" customHeight="1">
      <c r="A16" s="15" t="s">
        <v>54</v>
      </c>
      <c r="B16" s="52" t="s">
        <v>48</v>
      </c>
      <c r="C16" s="16">
        <v>7.6</v>
      </c>
      <c r="D16" s="17">
        <f>4*AVERAGE(46,40)</f>
        <v>172</v>
      </c>
      <c r="E16" s="17">
        <f t="shared" si="0"/>
        <v>1191.1357340720222</v>
      </c>
      <c r="F16" s="18"/>
      <c r="G16" s="53"/>
      <c r="H16" s="54"/>
      <c r="I16" s="54"/>
      <c r="J16" s="13"/>
      <c r="K16" s="14"/>
    </row>
    <row r="17" spans="1:11" ht="15.75" customHeight="1">
      <c r="A17" s="2" t="s">
        <v>55</v>
      </c>
      <c r="B17" s="48" t="s">
        <v>48</v>
      </c>
      <c r="C17" s="3">
        <v>8.41</v>
      </c>
      <c r="D17" s="4">
        <f>4*AVERAGE(77,23,33)</f>
        <v>177.33333333333334</v>
      </c>
      <c r="E17" s="4">
        <f t="shared" si="0"/>
        <v>1228.0701754385966</v>
      </c>
      <c r="F17" s="5">
        <f>AVERAGE(E17:E19)</f>
        <v>701.75438596491222</v>
      </c>
      <c r="G17" s="49">
        <v>50</v>
      </c>
      <c r="H17" s="48">
        <v>10400</v>
      </c>
      <c r="I17" s="48">
        <v>131</v>
      </c>
      <c r="J17" s="13"/>
      <c r="K17" s="14"/>
    </row>
    <row r="18" spans="1:11" ht="15.75" customHeight="1">
      <c r="A18" s="8" t="s">
        <v>56</v>
      </c>
      <c r="B18" s="50" t="s">
        <v>48</v>
      </c>
      <c r="C18" s="9">
        <v>26.12</v>
      </c>
      <c r="D18" s="10">
        <f>4*AVERAGE(6,31,20)</f>
        <v>76</v>
      </c>
      <c r="E18" s="10">
        <f t="shared" si="0"/>
        <v>526.31578947368416</v>
      </c>
      <c r="F18" s="12"/>
      <c r="G18" s="51"/>
      <c r="H18" s="50"/>
      <c r="I18" s="50"/>
      <c r="J18" s="13"/>
      <c r="K18" s="14"/>
    </row>
    <row r="19" spans="1:11" ht="15.75" customHeight="1">
      <c r="A19" s="15" t="s">
        <v>57</v>
      </c>
      <c r="B19" s="52" t="s">
        <v>48</v>
      </c>
      <c r="C19" s="16">
        <v>59.89</v>
      </c>
      <c r="D19" s="17">
        <f>4*AVERAGE(7,14,17)</f>
        <v>50.666666666666664</v>
      </c>
      <c r="E19" s="17">
        <f t="shared" si="0"/>
        <v>350.87719298245611</v>
      </c>
      <c r="F19" s="18"/>
      <c r="G19" s="53"/>
      <c r="H19" s="54"/>
      <c r="I19" s="54"/>
      <c r="J19" s="13"/>
      <c r="K19" s="14"/>
    </row>
    <row r="20" spans="1:11" ht="15.75" customHeight="1">
      <c r="A20" s="2" t="s">
        <v>58</v>
      </c>
      <c r="B20" s="48" t="s">
        <v>48</v>
      </c>
      <c r="C20" s="3">
        <v>9</v>
      </c>
      <c r="D20" s="26">
        <f>4*19</f>
        <v>76</v>
      </c>
      <c r="E20" s="26">
        <f t="shared" si="0"/>
        <v>526.31578947368416</v>
      </c>
      <c r="F20" s="5">
        <f>AVERAGE(E20:E22)</f>
        <v>470.91412742382272</v>
      </c>
      <c r="G20" s="49">
        <v>50</v>
      </c>
      <c r="H20" s="48">
        <v>8400</v>
      </c>
      <c r="I20" s="48">
        <v>97</v>
      </c>
      <c r="J20" s="13"/>
      <c r="K20" s="14"/>
    </row>
    <row r="21" spans="1:11" ht="15.75" customHeight="1">
      <c r="A21" s="8" t="s">
        <v>59</v>
      </c>
      <c r="B21" s="50" t="s">
        <v>48</v>
      </c>
      <c r="C21" s="9">
        <v>8.89</v>
      </c>
      <c r="D21" s="27">
        <f>4*17</f>
        <v>68</v>
      </c>
      <c r="E21" s="27">
        <f t="shared" si="0"/>
        <v>470.91412742382272</v>
      </c>
      <c r="F21" s="12"/>
      <c r="G21" s="51"/>
      <c r="H21" s="50"/>
      <c r="I21" s="50"/>
      <c r="J21" s="13"/>
      <c r="K21" s="14"/>
    </row>
    <row r="22" spans="1:11" ht="15.75" customHeight="1">
      <c r="A22" s="15" t="s">
        <v>60</v>
      </c>
      <c r="B22" s="52" t="s">
        <v>48</v>
      </c>
      <c r="C22" s="16">
        <v>9.59</v>
      </c>
      <c r="D22" s="28">
        <f>4*15</f>
        <v>60</v>
      </c>
      <c r="E22" s="28">
        <f t="shared" si="0"/>
        <v>415.51246537396122</v>
      </c>
      <c r="F22" s="18"/>
      <c r="G22" s="53"/>
      <c r="H22" s="54"/>
      <c r="I22" s="54"/>
      <c r="J22" s="13"/>
      <c r="K22" s="14"/>
    </row>
    <row r="23" spans="1:11" ht="15.75" customHeight="1">
      <c r="A23" s="2" t="s">
        <v>61</v>
      </c>
      <c r="B23" s="48" t="s">
        <v>48</v>
      </c>
      <c r="C23" s="3">
        <v>23.64</v>
      </c>
      <c r="D23" s="26">
        <f>4*4</f>
        <v>16</v>
      </c>
      <c r="E23" s="26">
        <f t="shared" si="0"/>
        <v>110.80332409972299</v>
      </c>
      <c r="F23" s="5">
        <f>AVERAGE(E23:E25)</f>
        <v>110.803324099723</v>
      </c>
      <c r="G23" s="49">
        <v>50</v>
      </c>
      <c r="H23" s="48">
        <v>8400</v>
      </c>
      <c r="I23" s="48">
        <v>57</v>
      </c>
      <c r="J23" s="13"/>
      <c r="K23" s="14"/>
    </row>
    <row r="24" spans="1:11" ht="15.75" customHeight="1">
      <c r="A24" s="8" t="s">
        <v>62</v>
      </c>
      <c r="B24" s="50" t="s">
        <v>48</v>
      </c>
      <c r="C24" s="9">
        <v>21.05</v>
      </c>
      <c r="D24" s="27">
        <f>4*5</f>
        <v>20</v>
      </c>
      <c r="E24" s="27">
        <f t="shared" si="0"/>
        <v>138.50415512465375</v>
      </c>
      <c r="F24" s="12"/>
      <c r="G24" s="51"/>
      <c r="H24" s="50"/>
      <c r="I24" s="50"/>
      <c r="J24" s="13"/>
      <c r="K24" s="14"/>
    </row>
    <row r="25" spans="1:11" ht="15.75" customHeight="1">
      <c r="A25" s="15" t="s">
        <v>63</v>
      </c>
      <c r="B25" s="52" t="s">
        <v>48</v>
      </c>
      <c r="C25" s="16">
        <v>26.28</v>
      </c>
      <c r="D25" s="28">
        <f>4*3</f>
        <v>12</v>
      </c>
      <c r="E25" s="28">
        <f t="shared" si="0"/>
        <v>83.10249307479225</v>
      </c>
      <c r="F25" s="18"/>
      <c r="G25" s="53"/>
      <c r="H25" s="54"/>
      <c r="I25" s="54"/>
      <c r="J25" s="13"/>
      <c r="K25" s="14"/>
    </row>
    <row r="26" spans="1:11" ht="15.75" customHeight="1">
      <c r="A26" s="2" t="s">
        <v>64</v>
      </c>
      <c r="B26" s="48" t="s">
        <v>48</v>
      </c>
      <c r="C26" s="3">
        <v>10.65</v>
      </c>
      <c r="D26" s="26">
        <f>4*73</f>
        <v>292</v>
      </c>
      <c r="E26" s="26">
        <f t="shared" si="0"/>
        <v>2022.1606648199445</v>
      </c>
      <c r="F26" s="5">
        <f>AVERAGE(E26:E28)</f>
        <v>2216.0664819944595</v>
      </c>
      <c r="G26" s="49">
        <v>50</v>
      </c>
      <c r="H26" s="48">
        <v>13500</v>
      </c>
      <c r="I26" s="48">
        <v>30</v>
      </c>
      <c r="J26" s="13"/>
      <c r="K26" s="14"/>
    </row>
    <row r="27" spans="1:11" ht="15.75" customHeight="1">
      <c r="A27" s="8" t="s">
        <v>65</v>
      </c>
      <c r="B27" s="50" t="s">
        <v>48</v>
      </c>
      <c r="C27" s="9">
        <v>9.65</v>
      </c>
      <c r="D27" s="27">
        <f>4*75</f>
        <v>300</v>
      </c>
      <c r="E27" s="27">
        <f t="shared" si="0"/>
        <v>2077.5623268698059</v>
      </c>
      <c r="F27" s="12"/>
      <c r="G27" s="51"/>
      <c r="H27" s="50"/>
      <c r="I27" s="50"/>
      <c r="J27" s="13"/>
      <c r="K27" s="14"/>
    </row>
    <row r="28" spans="1:11" ht="15.75" customHeight="1">
      <c r="A28" s="15" t="s">
        <v>66</v>
      </c>
      <c r="B28" s="52" t="s">
        <v>48</v>
      </c>
      <c r="C28" s="16">
        <v>12.37</v>
      </c>
      <c r="D28" s="28">
        <f>4*92</f>
        <v>368</v>
      </c>
      <c r="E28" s="28">
        <f t="shared" si="0"/>
        <v>2548.4764542936286</v>
      </c>
      <c r="F28" s="18"/>
      <c r="G28" s="53"/>
      <c r="H28" s="54"/>
      <c r="I28" s="54"/>
      <c r="J28" s="13"/>
      <c r="K28" s="14"/>
    </row>
    <row r="29" spans="1:11" ht="15.75" customHeight="1">
      <c r="A29" s="2" t="s">
        <v>67</v>
      </c>
      <c r="B29" s="48" t="s">
        <v>48</v>
      </c>
      <c r="C29" s="3">
        <v>1.1499999999999999</v>
      </c>
      <c r="D29" s="26">
        <f>4*49</f>
        <v>196</v>
      </c>
      <c r="E29" s="26">
        <f t="shared" si="0"/>
        <v>1357.3407202216067</v>
      </c>
      <c r="F29" s="5">
        <f>AVERAGE(E29:E31)</f>
        <v>941.82825484764544</v>
      </c>
      <c r="G29" s="49">
        <v>50</v>
      </c>
      <c r="H29" s="48">
        <v>12300</v>
      </c>
      <c r="I29" s="48">
        <v>750</v>
      </c>
      <c r="J29" s="13"/>
      <c r="K29" s="14"/>
    </row>
    <row r="30" spans="1:11" ht="15.75" customHeight="1">
      <c r="A30" s="8" t="s">
        <v>68</v>
      </c>
      <c r="B30" s="50" t="s">
        <v>48</v>
      </c>
      <c r="C30" s="9">
        <v>0.6</v>
      </c>
      <c r="D30" s="27">
        <f>4*28</f>
        <v>112</v>
      </c>
      <c r="E30" s="27">
        <f t="shared" si="0"/>
        <v>775.62326869806088</v>
      </c>
      <c r="F30" s="12"/>
      <c r="G30" s="51"/>
      <c r="H30" s="50"/>
      <c r="I30" s="50"/>
      <c r="J30" s="13"/>
      <c r="K30" s="14"/>
    </row>
    <row r="31" spans="1:11" ht="15.75" customHeight="1">
      <c r="A31" s="15" t="s">
        <v>69</v>
      </c>
      <c r="B31" s="52" t="s">
        <v>48</v>
      </c>
      <c r="C31" s="16">
        <v>0.83</v>
      </c>
      <c r="D31" s="28">
        <f>4*25</f>
        <v>100</v>
      </c>
      <c r="E31" s="28">
        <f t="shared" si="0"/>
        <v>692.52077562326872</v>
      </c>
      <c r="F31" s="18"/>
      <c r="G31" s="53"/>
      <c r="H31" s="54"/>
      <c r="I31" s="54"/>
      <c r="J31" s="13"/>
      <c r="K31" s="14"/>
    </row>
    <row r="32" spans="1:11" ht="15.75" customHeight="1">
      <c r="A32" s="2" t="s">
        <v>70</v>
      </c>
      <c r="B32" s="48" t="s">
        <v>48</v>
      </c>
      <c r="C32" s="3">
        <v>13.29</v>
      </c>
      <c r="D32" s="26">
        <f>4*3</f>
        <v>12</v>
      </c>
      <c r="E32" s="26">
        <f t="shared" si="0"/>
        <v>83.10249307479225</v>
      </c>
      <c r="F32" s="5">
        <f>AVERAGE(E32:E34)</f>
        <v>175.43859649122805</v>
      </c>
      <c r="G32" s="49">
        <v>60</v>
      </c>
      <c r="H32" s="48">
        <v>8200</v>
      </c>
      <c r="I32" s="48">
        <v>514</v>
      </c>
      <c r="J32" s="13"/>
      <c r="K32" s="14"/>
    </row>
    <row r="33" spans="1:11" ht="15.75" customHeight="1">
      <c r="A33" s="8" t="s">
        <v>71</v>
      </c>
      <c r="B33" s="50" t="s">
        <v>48</v>
      </c>
      <c r="C33" s="9">
        <v>10.050000000000001</v>
      </c>
      <c r="D33" s="27">
        <f>4*7</f>
        <v>28</v>
      </c>
      <c r="E33" s="27">
        <f t="shared" si="0"/>
        <v>193.90581717451522</v>
      </c>
      <c r="F33" s="12"/>
      <c r="G33" s="51"/>
      <c r="H33" s="50"/>
      <c r="I33" s="50"/>
      <c r="J33" s="13"/>
      <c r="K33" s="14"/>
    </row>
    <row r="34" spans="1:11" ht="15.75" customHeight="1">
      <c r="A34" s="15" t="s">
        <v>72</v>
      </c>
      <c r="B34" s="52" t="s">
        <v>48</v>
      </c>
      <c r="C34" s="16">
        <v>1.93</v>
      </c>
      <c r="D34" s="28">
        <f>4*9</f>
        <v>36</v>
      </c>
      <c r="E34" s="28">
        <f t="shared" si="0"/>
        <v>249.30747922437672</v>
      </c>
      <c r="F34" s="18"/>
      <c r="G34" s="53"/>
      <c r="H34" s="54"/>
      <c r="I34" s="54"/>
      <c r="J34" s="13"/>
      <c r="K34" s="14"/>
    </row>
    <row r="35" spans="1:11" ht="15.75" customHeight="1">
      <c r="A35" s="2" t="s">
        <v>73</v>
      </c>
      <c r="B35" s="48" t="s">
        <v>48</v>
      </c>
      <c r="C35" s="3">
        <v>0.15</v>
      </c>
      <c r="D35" s="26">
        <f>4*6</f>
        <v>24</v>
      </c>
      <c r="E35" s="26">
        <f t="shared" si="0"/>
        <v>166.2049861495845</v>
      </c>
      <c r="F35" s="5">
        <f>AVERAGE(E35:E37)</f>
        <v>249.30747922437672</v>
      </c>
      <c r="G35" s="49">
        <v>60</v>
      </c>
      <c r="H35" s="48">
        <v>6100</v>
      </c>
      <c r="I35" s="48">
        <v>150</v>
      </c>
      <c r="J35" s="13"/>
      <c r="K35" s="14"/>
    </row>
    <row r="36" spans="1:11" ht="15.75" customHeight="1">
      <c r="A36" s="8" t="s">
        <v>74</v>
      </c>
      <c r="B36" s="50" t="s">
        <v>48</v>
      </c>
      <c r="C36" s="9">
        <v>0.26</v>
      </c>
      <c r="D36" s="27">
        <f>4*4</f>
        <v>16</v>
      </c>
      <c r="E36" s="27">
        <f t="shared" si="0"/>
        <v>110.80332409972299</v>
      </c>
      <c r="F36" s="12"/>
      <c r="G36" s="51"/>
      <c r="H36" s="50"/>
      <c r="I36" s="50"/>
      <c r="J36" s="13"/>
      <c r="K36" s="14"/>
    </row>
    <row r="37" spans="1:11" ht="15.75" customHeight="1">
      <c r="A37" s="15" t="s">
        <v>75</v>
      </c>
      <c r="B37" s="52" t="s">
        <v>48</v>
      </c>
      <c r="C37" s="16">
        <v>0.47</v>
      </c>
      <c r="D37" s="28">
        <f>4*17</f>
        <v>68</v>
      </c>
      <c r="E37" s="28">
        <f t="shared" si="0"/>
        <v>470.91412742382272</v>
      </c>
      <c r="F37" s="18"/>
      <c r="G37" s="53"/>
      <c r="H37" s="54"/>
      <c r="I37" s="54"/>
      <c r="J37" s="13"/>
      <c r="K37" s="14"/>
    </row>
    <row r="38" spans="1:11" ht="15.75" customHeight="1">
      <c r="A38" s="2" t="s">
        <v>76</v>
      </c>
      <c r="B38" s="48" t="s">
        <v>48</v>
      </c>
      <c r="C38" s="3">
        <v>5.32</v>
      </c>
      <c r="D38" s="26">
        <f>4*35</f>
        <v>140</v>
      </c>
      <c r="E38" s="26">
        <f t="shared" si="0"/>
        <v>969.52908587257616</v>
      </c>
      <c r="F38" s="5">
        <f>AVERAGE(E38:E40)</f>
        <v>803.32409972299172</v>
      </c>
      <c r="G38" s="49">
        <v>60</v>
      </c>
      <c r="H38" s="48">
        <v>4900</v>
      </c>
      <c r="I38" s="48">
        <v>30</v>
      </c>
      <c r="J38" s="13"/>
      <c r="K38" s="14"/>
    </row>
    <row r="39" spans="1:11" ht="15.75" customHeight="1">
      <c r="A39" s="8" t="s">
        <v>77</v>
      </c>
      <c r="B39" s="50" t="s">
        <v>48</v>
      </c>
      <c r="C39" s="9">
        <v>3.97</v>
      </c>
      <c r="D39" s="27">
        <f>4*28</f>
        <v>112</v>
      </c>
      <c r="E39" s="27">
        <f t="shared" si="0"/>
        <v>775.62326869806088</v>
      </c>
      <c r="F39" s="12"/>
      <c r="G39" s="51"/>
      <c r="H39" s="50"/>
      <c r="I39" s="50"/>
      <c r="J39" s="13"/>
      <c r="K39" s="14"/>
    </row>
    <row r="40" spans="1:11" ht="15.75" customHeight="1">
      <c r="A40" s="15" t="s">
        <v>78</v>
      </c>
      <c r="B40" s="52" t="s">
        <v>48</v>
      </c>
      <c r="C40" s="16">
        <v>5.28</v>
      </c>
      <c r="D40" s="28">
        <f>4*24</f>
        <v>96</v>
      </c>
      <c r="E40" s="28">
        <f t="shared" si="0"/>
        <v>664.819944598338</v>
      </c>
      <c r="F40" s="18"/>
      <c r="G40" s="53"/>
      <c r="H40" s="54"/>
      <c r="I40" s="54"/>
      <c r="J40" s="13"/>
      <c r="K40" s="14"/>
    </row>
    <row r="41" spans="1:11" ht="15.75" customHeight="1">
      <c r="A41" s="2" t="s">
        <v>79</v>
      </c>
      <c r="B41" s="48" t="s">
        <v>48</v>
      </c>
      <c r="C41" s="3">
        <v>1.77</v>
      </c>
      <c r="D41" s="26">
        <f>4*3</f>
        <v>12</v>
      </c>
      <c r="E41" s="26">
        <f t="shared" si="0"/>
        <v>83.10249307479225</v>
      </c>
      <c r="F41" s="5">
        <f>AVERAGE(E41:E43)</f>
        <v>27.70083102493075</v>
      </c>
      <c r="G41" s="49">
        <v>60</v>
      </c>
      <c r="H41" s="48">
        <v>4900</v>
      </c>
      <c r="I41" s="48">
        <v>690</v>
      </c>
      <c r="J41" s="13"/>
      <c r="K41" s="14"/>
    </row>
    <row r="42" spans="1:11" ht="15.75" customHeight="1">
      <c r="A42" s="8" t="s">
        <v>80</v>
      </c>
      <c r="B42" s="50" t="s">
        <v>48</v>
      </c>
      <c r="C42" s="9">
        <v>1.45</v>
      </c>
      <c r="D42" s="27">
        <f t="shared" ref="D42:D43" si="1">4*0</f>
        <v>0</v>
      </c>
      <c r="E42" s="27">
        <f t="shared" si="0"/>
        <v>0</v>
      </c>
      <c r="F42" s="12"/>
      <c r="G42" s="51"/>
      <c r="H42" s="50"/>
      <c r="I42" s="50"/>
      <c r="J42" s="13"/>
      <c r="K42" s="14"/>
    </row>
    <row r="43" spans="1:11" ht="15.75" customHeight="1">
      <c r="A43" s="15" t="s">
        <v>81</v>
      </c>
      <c r="B43" s="52" t="s">
        <v>48</v>
      </c>
      <c r="C43" s="16">
        <v>1.1499999999999999</v>
      </c>
      <c r="D43" s="28">
        <f t="shared" si="1"/>
        <v>0</v>
      </c>
      <c r="E43" s="28">
        <f t="shared" si="0"/>
        <v>0</v>
      </c>
      <c r="F43" s="18"/>
      <c r="G43" s="53"/>
      <c r="H43" s="54"/>
      <c r="I43" s="54"/>
      <c r="J43" s="13"/>
      <c r="K43" s="14"/>
    </row>
    <row r="44" spans="1:11" ht="15.75" customHeight="1">
      <c r="A44" s="2" t="s">
        <v>82</v>
      </c>
      <c r="B44" s="48" t="s">
        <v>48</v>
      </c>
      <c r="C44" s="3">
        <v>0.88</v>
      </c>
      <c r="D44" s="26">
        <f>4*15</f>
        <v>60</v>
      </c>
      <c r="E44" s="26">
        <f t="shared" si="0"/>
        <v>415.51246537396122</v>
      </c>
      <c r="F44" s="5">
        <f>AVERAGE(E44:E46)</f>
        <v>369.34441366574328</v>
      </c>
      <c r="G44" s="49">
        <v>50</v>
      </c>
      <c r="H44" s="48">
        <v>2900</v>
      </c>
      <c r="I44" s="48">
        <v>60</v>
      </c>
      <c r="J44" s="13"/>
      <c r="K44" s="14"/>
    </row>
    <row r="45" spans="1:11" ht="15.75" customHeight="1">
      <c r="A45" s="8" t="s">
        <v>83</v>
      </c>
      <c r="B45" s="50" t="s">
        <v>48</v>
      </c>
      <c r="C45" s="9">
        <v>0.86</v>
      </c>
      <c r="D45" s="27">
        <f>4*16</f>
        <v>64</v>
      </c>
      <c r="E45" s="27">
        <f t="shared" si="0"/>
        <v>443.21329639889194</v>
      </c>
      <c r="F45" s="12"/>
      <c r="G45" s="51"/>
      <c r="H45" s="50"/>
      <c r="I45" s="50"/>
      <c r="J45" s="13"/>
      <c r="K45" s="14"/>
    </row>
    <row r="46" spans="1:11" ht="15.75" customHeight="1">
      <c r="A46" s="15" t="s">
        <v>84</v>
      </c>
      <c r="B46" s="52" t="s">
        <v>48</v>
      </c>
      <c r="C46" s="16">
        <v>1.3</v>
      </c>
      <c r="D46" s="28">
        <f>4*9</f>
        <v>36</v>
      </c>
      <c r="E46" s="28">
        <f t="shared" si="0"/>
        <v>249.30747922437672</v>
      </c>
      <c r="F46" s="18"/>
      <c r="G46" s="53"/>
      <c r="H46" s="54"/>
      <c r="I46" s="54"/>
      <c r="J46" s="13"/>
      <c r="K46" s="14"/>
    </row>
    <row r="47" spans="1:11" ht="15.75" customHeight="1">
      <c r="A47" s="2" t="s">
        <v>85</v>
      </c>
      <c r="B47" s="48" t="s">
        <v>86</v>
      </c>
      <c r="C47" s="3">
        <v>1.05</v>
      </c>
      <c r="D47" s="26">
        <f>4*1</f>
        <v>4</v>
      </c>
      <c r="E47" s="26"/>
      <c r="F47" s="5"/>
      <c r="G47" s="49">
        <v>40</v>
      </c>
      <c r="H47" s="48">
        <v>3100</v>
      </c>
      <c r="I47" s="48">
        <v>450</v>
      </c>
      <c r="J47" s="13"/>
      <c r="K47" s="14"/>
    </row>
    <row r="48" spans="1:11" ht="15.75" customHeight="1">
      <c r="A48" s="8" t="s">
        <v>87</v>
      </c>
      <c r="B48" s="50" t="s">
        <v>88</v>
      </c>
      <c r="C48" s="9">
        <v>0</v>
      </c>
      <c r="D48" s="27">
        <f>4*3</f>
        <v>12</v>
      </c>
      <c r="E48" s="27"/>
      <c r="F48" s="12"/>
      <c r="G48" s="51">
        <v>40</v>
      </c>
      <c r="H48" s="50">
        <v>5200</v>
      </c>
      <c r="I48" s="50">
        <v>141</v>
      </c>
      <c r="J48" s="13"/>
      <c r="K48" s="14"/>
    </row>
    <row r="49" spans="1:11" ht="15.75" customHeight="1">
      <c r="A49" s="8" t="s">
        <v>89</v>
      </c>
      <c r="B49" s="50" t="s">
        <v>88</v>
      </c>
      <c r="C49" s="9"/>
      <c r="D49" s="27">
        <f>4*8</f>
        <v>32</v>
      </c>
      <c r="E49" s="27"/>
      <c r="F49" s="12"/>
      <c r="G49" s="51">
        <v>50</v>
      </c>
      <c r="H49" s="50">
        <v>8400</v>
      </c>
      <c r="I49" s="50">
        <v>57</v>
      </c>
      <c r="J49" s="13"/>
      <c r="K49" s="14"/>
    </row>
    <row r="50" spans="1:11" ht="15.75" customHeight="1">
      <c r="A50" s="8" t="s">
        <v>90</v>
      </c>
      <c r="B50" s="50" t="s">
        <v>86</v>
      </c>
      <c r="C50" s="9"/>
      <c r="D50" s="27">
        <f>4*516</f>
        <v>2064</v>
      </c>
      <c r="E50" s="27"/>
      <c r="F50" s="12"/>
      <c r="G50" s="51">
        <v>70</v>
      </c>
      <c r="H50" s="50">
        <v>13500</v>
      </c>
      <c r="I50" s="50">
        <v>0</v>
      </c>
      <c r="J50" s="13"/>
      <c r="K50" s="14"/>
    </row>
    <row r="51" spans="1:11" ht="15.75" customHeight="1">
      <c r="A51" s="8" t="s">
        <v>91</v>
      </c>
      <c r="B51" s="50" t="s">
        <v>86</v>
      </c>
      <c r="C51" s="9"/>
      <c r="D51" s="27">
        <f>4*12</f>
        <v>48</v>
      </c>
      <c r="E51" s="27"/>
      <c r="F51" s="12"/>
      <c r="G51" s="56"/>
      <c r="H51" s="50">
        <v>8200</v>
      </c>
      <c r="I51" s="50">
        <v>400</v>
      </c>
      <c r="J51" s="13"/>
      <c r="K51" s="14"/>
    </row>
    <row r="52" spans="1:11" ht="15.75" customHeight="1">
      <c r="A52" s="8" t="s">
        <v>92</v>
      </c>
      <c r="B52" s="50" t="s">
        <v>86</v>
      </c>
      <c r="C52" s="9"/>
      <c r="D52" s="27">
        <f>4*6</f>
        <v>24</v>
      </c>
      <c r="E52" s="27"/>
      <c r="F52" s="12"/>
      <c r="G52" s="51">
        <v>50</v>
      </c>
      <c r="H52" s="57">
        <v>2900</v>
      </c>
      <c r="I52" s="50">
        <v>50</v>
      </c>
      <c r="J52" s="13"/>
      <c r="K52" s="14"/>
    </row>
    <row r="53" spans="1:11" ht="15.75" customHeight="1">
      <c r="A53" s="2" t="s">
        <v>93</v>
      </c>
      <c r="B53" s="48" t="s">
        <v>48</v>
      </c>
      <c r="C53" s="3">
        <v>0.67</v>
      </c>
      <c r="D53" s="26">
        <f>4*9</f>
        <v>36</v>
      </c>
      <c r="E53" s="26">
        <f t="shared" ref="E53:E97" si="2">D53/(0.38^2)</f>
        <v>249.30747922437672</v>
      </c>
      <c r="F53" s="5">
        <f>AVERAGE(E53:E55)</f>
        <v>480.14773776546627</v>
      </c>
      <c r="G53" s="49">
        <v>40</v>
      </c>
      <c r="H53" s="48">
        <v>9000</v>
      </c>
      <c r="I53" s="48">
        <v>30</v>
      </c>
      <c r="J53" s="11">
        <f>AVERAGE(F53:F97)</f>
        <v>593.72114496768222</v>
      </c>
      <c r="K53" s="7" t="s">
        <v>11</v>
      </c>
    </row>
    <row r="54" spans="1:11" ht="15.75" customHeight="1">
      <c r="A54" s="8" t="s">
        <v>94</v>
      </c>
      <c r="B54" s="50" t="s">
        <v>48</v>
      </c>
      <c r="C54" s="9">
        <v>23.87</v>
      </c>
      <c r="D54" s="27">
        <f>4*28</f>
        <v>112</v>
      </c>
      <c r="E54" s="27">
        <f t="shared" si="2"/>
        <v>775.62326869806088</v>
      </c>
      <c r="F54" s="12"/>
      <c r="G54" s="51"/>
      <c r="H54" s="50"/>
      <c r="I54" s="50"/>
      <c r="J54" s="13">
        <f>AVERAGE(H53:H97)</f>
        <v>13573.333333333334</v>
      </c>
      <c r="K54" s="14" t="s">
        <v>13</v>
      </c>
    </row>
    <row r="55" spans="1:11" ht="15.75" customHeight="1">
      <c r="A55" s="15" t="s">
        <v>95</v>
      </c>
      <c r="B55" s="52" t="s">
        <v>48</v>
      </c>
      <c r="C55" s="16">
        <v>1.28</v>
      </c>
      <c r="D55" s="28">
        <f>4*15</f>
        <v>60</v>
      </c>
      <c r="E55" s="28">
        <f t="shared" si="2"/>
        <v>415.51246537396122</v>
      </c>
      <c r="F55" s="18"/>
      <c r="G55" s="53"/>
      <c r="H55" s="54"/>
      <c r="I55" s="54"/>
      <c r="J55" s="19">
        <f>AVERAGE(G53:G97)</f>
        <v>51.333333333333336</v>
      </c>
      <c r="K55" s="20" t="s">
        <v>15</v>
      </c>
    </row>
    <row r="56" spans="1:11" ht="15.75" customHeight="1">
      <c r="A56" s="2" t="s">
        <v>96</v>
      </c>
      <c r="B56" s="48" t="s">
        <v>48</v>
      </c>
      <c r="C56" s="3">
        <v>7.85</v>
      </c>
      <c r="D56" s="26">
        <f>4*45</f>
        <v>180</v>
      </c>
      <c r="E56" s="26">
        <f t="shared" si="2"/>
        <v>1246.5373961218836</v>
      </c>
      <c r="F56" s="5">
        <f>AVERAGE(E56:E58)</f>
        <v>1080.3324099722993</v>
      </c>
      <c r="G56" s="49">
        <v>40</v>
      </c>
      <c r="H56" s="48">
        <v>11000</v>
      </c>
      <c r="I56" s="48">
        <v>15</v>
      </c>
      <c r="J56" s="6"/>
      <c r="K56" s="7"/>
    </row>
    <row r="57" spans="1:11" ht="15.75" customHeight="1">
      <c r="A57" s="8" t="s">
        <v>97</v>
      </c>
      <c r="B57" s="50" t="s">
        <v>48</v>
      </c>
      <c r="C57" s="9">
        <v>4.8099999999999996</v>
      </c>
      <c r="D57" s="27">
        <f>4*40</f>
        <v>160</v>
      </c>
      <c r="E57" s="27">
        <f t="shared" si="2"/>
        <v>1108.03324099723</v>
      </c>
      <c r="F57" s="12"/>
      <c r="G57" s="51"/>
      <c r="H57" s="50"/>
      <c r="I57" s="50"/>
      <c r="J57" s="13"/>
      <c r="K57" s="14"/>
    </row>
    <row r="58" spans="1:11" ht="15.75" customHeight="1">
      <c r="A58" s="15" t="s">
        <v>98</v>
      </c>
      <c r="B58" s="52" t="s">
        <v>48</v>
      </c>
      <c r="C58" s="16">
        <v>10.23</v>
      </c>
      <c r="D58" s="28">
        <f>4*32</f>
        <v>128</v>
      </c>
      <c r="E58" s="28">
        <f t="shared" si="2"/>
        <v>886.42659279778388</v>
      </c>
      <c r="F58" s="18"/>
      <c r="G58" s="53"/>
      <c r="H58" s="54"/>
      <c r="I58" s="54"/>
      <c r="J58" s="13"/>
      <c r="K58" s="14"/>
    </row>
    <row r="59" spans="1:11" ht="15.75" customHeight="1">
      <c r="A59" s="2" t="s">
        <v>99</v>
      </c>
      <c r="B59" s="48" t="s">
        <v>48</v>
      </c>
      <c r="C59" s="3">
        <v>2.92</v>
      </c>
      <c r="D59" s="26">
        <f>4*7</f>
        <v>28</v>
      </c>
      <c r="E59" s="26">
        <f t="shared" si="2"/>
        <v>193.90581717451522</v>
      </c>
      <c r="F59" s="5">
        <f>AVERAGE(E59:E61)</f>
        <v>313.94275161588183</v>
      </c>
      <c r="G59" s="49">
        <v>50</v>
      </c>
      <c r="H59" s="48">
        <v>17800</v>
      </c>
      <c r="I59" s="48">
        <v>615</v>
      </c>
      <c r="J59" s="13"/>
      <c r="K59" s="14"/>
    </row>
    <row r="60" spans="1:11" ht="15.75" customHeight="1">
      <c r="A60" s="8" t="s">
        <v>100</v>
      </c>
      <c r="B60" s="50" t="s">
        <v>48</v>
      </c>
      <c r="C60" s="9">
        <v>1.28</v>
      </c>
      <c r="D60" s="27">
        <f>4*12</f>
        <v>48</v>
      </c>
      <c r="E60" s="27">
        <f t="shared" si="2"/>
        <v>332.409972299169</v>
      </c>
      <c r="F60" s="12"/>
      <c r="G60" s="51"/>
      <c r="H60" s="50"/>
      <c r="I60" s="50"/>
      <c r="J60" s="13"/>
      <c r="K60" s="14"/>
    </row>
    <row r="61" spans="1:11" ht="15.75" customHeight="1">
      <c r="A61" s="15" t="s">
        <v>101</v>
      </c>
      <c r="B61" s="52" t="s">
        <v>48</v>
      </c>
      <c r="C61" s="16">
        <v>1.54</v>
      </c>
      <c r="D61" s="28">
        <f>4*15</f>
        <v>60</v>
      </c>
      <c r="E61" s="28">
        <f t="shared" si="2"/>
        <v>415.51246537396122</v>
      </c>
      <c r="F61" s="18"/>
      <c r="G61" s="53"/>
      <c r="H61" s="54"/>
      <c r="I61" s="54"/>
      <c r="J61" s="13"/>
      <c r="K61" s="14"/>
    </row>
    <row r="62" spans="1:11" ht="15.75" customHeight="1">
      <c r="A62" s="2" t="s">
        <v>102</v>
      </c>
      <c r="B62" s="48" t="s">
        <v>48</v>
      </c>
      <c r="C62" s="3">
        <v>0.08</v>
      </c>
      <c r="D62" s="26">
        <f>4*4</f>
        <v>16</v>
      </c>
      <c r="E62" s="26">
        <f t="shared" si="2"/>
        <v>110.80332409972299</v>
      </c>
      <c r="F62" s="5">
        <f>AVERAGE(E62:E64)</f>
        <v>286.24192059095105</v>
      </c>
      <c r="G62" s="49">
        <v>50</v>
      </c>
      <c r="H62" s="48">
        <v>13500</v>
      </c>
      <c r="I62" s="48">
        <v>15</v>
      </c>
      <c r="J62" s="13"/>
      <c r="K62" s="14"/>
    </row>
    <row r="63" spans="1:11" ht="15.75" customHeight="1">
      <c r="A63" s="8" t="s">
        <v>103</v>
      </c>
      <c r="B63" s="50" t="s">
        <v>48</v>
      </c>
      <c r="C63" s="9">
        <v>0.06</v>
      </c>
      <c r="D63" s="27">
        <f>4*15</f>
        <v>60</v>
      </c>
      <c r="E63" s="27">
        <f t="shared" si="2"/>
        <v>415.51246537396122</v>
      </c>
      <c r="F63" s="12"/>
      <c r="G63" s="51"/>
      <c r="H63" s="50"/>
      <c r="I63" s="50"/>
      <c r="J63" s="13"/>
      <c r="K63" s="14"/>
    </row>
    <row r="64" spans="1:11" ht="15.75" customHeight="1">
      <c r="A64" s="15" t="s">
        <v>104</v>
      </c>
      <c r="B64" s="52" t="s">
        <v>48</v>
      </c>
      <c r="C64" s="16">
        <v>0.24</v>
      </c>
      <c r="D64" s="28">
        <f>4*12</f>
        <v>48</v>
      </c>
      <c r="E64" s="28">
        <f t="shared" si="2"/>
        <v>332.409972299169</v>
      </c>
      <c r="F64" s="18"/>
      <c r="G64" s="53"/>
      <c r="H64" s="54"/>
      <c r="I64" s="54"/>
      <c r="J64" s="13"/>
      <c r="K64" s="14"/>
    </row>
    <row r="65" spans="1:11" ht="15.75" customHeight="1">
      <c r="A65" s="2" t="s">
        <v>105</v>
      </c>
      <c r="B65" s="48" t="s">
        <v>48</v>
      </c>
      <c r="C65" s="3">
        <v>2.2799999999999998</v>
      </c>
      <c r="D65" s="26">
        <f>4*7</f>
        <v>28</v>
      </c>
      <c r="E65" s="26">
        <f t="shared" si="2"/>
        <v>193.90581717451522</v>
      </c>
      <c r="F65" s="5">
        <f>AVERAGE(E65:E67)</f>
        <v>766.38965835641739</v>
      </c>
      <c r="G65" s="49">
        <v>50</v>
      </c>
      <c r="H65" s="48">
        <v>22000</v>
      </c>
      <c r="I65" s="48">
        <v>15</v>
      </c>
      <c r="J65" s="13"/>
      <c r="K65" s="14"/>
    </row>
    <row r="66" spans="1:11" ht="15.75" customHeight="1">
      <c r="A66" s="8" t="s">
        <v>106</v>
      </c>
      <c r="B66" s="50" t="s">
        <v>48</v>
      </c>
      <c r="C66" s="9">
        <v>1.89</v>
      </c>
      <c r="D66" s="27">
        <f>4*51</f>
        <v>204</v>
      </c>
      <c r="E66" s="27">
        <f t="shared" si="2"/>
        <v>1412.7423822714682</v>
      </c>
      <c r="F66" s="12"/>
      <c r="G66" s="51"/>
      <c r="H66" s="50"/>
      <c r="I66" s="50"/>
      <c r="J66" s="13"/>
      <c r="K66" s="14"/>
    </row>
    <row r="67" spans="1:11" ht="15.75" customHeight="1">
      <c r="A67" s="15" t="s">
        <v>107</v>
      </c>
      <c r="B67" s="52" t="s">
        <v>48</v>
      </c>
      <c r="C67" s="16">
        <v>3.22</v>
      </c>
      <c r="D67" s="28">
        <f>4*25</f>
        <v>100</v>
      </c>
      <c r="E67" s="28">
        <f t="shared" si="2"/>
        <v>692.52077562326872</v>
      </c>
      <c r="F67" s="18"/>
      <c r="G67" s="53"/>
      <c r="H67" s="54"/>
      <c r="I67" s="54"/>
      <c r="J67" s="13"/>
      <c r="K67" s="14"/>
    </row>
    <row r="68" spans="1:11" ht="15.75" customHeight="1">
      <c r="A68" s="2" t="s">
        <v>108</v>
      </c>
      <c r="B68" s="48" t="s">
        <v>48</v>
      </c>
      <c r="C68" s="3">
        <v>10.83</v>
      </c>
      <c r="D68" s="26">
        <f>4*26</f>
        <v>104</v>
      </c>
      <c r="E68" s="26">
        <f t="shared" si="2"/>
        <v>720.22160664819944</v>
      </c>
      <c r="F68" s="5">
        <f>AVERAGE(E68:E70)</f>
        <v>840.25854108956594</v>
      </c>
      <c r="G68" s="49">
        <v>50</v>
      </c>
      <c r="H68" s="48">
        <v>21000</v>
      </c>
      <c r="I68" s="48">
        <v>15</v>
      </c>
      <c r="J68" s="13"/>
      <c r="K68" s="14"/>
    </row>
    <row r="69" spans="1:11" ht="15.75" customHeight="1">
      <c r="A69" s="8" t="s">
        <v>109</v>
      </c>
      <c r="B69" s="50" t="s">
        <v>48</v>
      </c>
      <c r="C69" s="9">
        <v>8.66</v>
      </c>
      <c r="D69" s="27">
        <f>4*25</f>
        <v>100</v>
      </c>
      <c r="E69" s="27">
        <f t="shared" si="2"/>
        <v>692.52077562326872</v>
      </c>
      <c r="F69" s="12"/>
      <c r="G69" s="51"/>
      <c r="H69" s="50"/>
      <c r="I69" s="50"/>
      <c r="J69" s="13"/>
      <c r="K69" s="14"/>
    </row>
    <row r="70" spans="1:11" ht="15.75" customHeight="1">
      <c r="A70" s="15" t="s">
        <v>110</v>
      </c>
      <c r="B70" s="52" t="s">
        <v>48</v>
      </c>
      <c r="C70" s="16">
        <v>2</v>
      </c>
      <c r="D70" s="28">
        <f>4*40</f>
        <v>160</v>
      </c>
      <c r="E70" s="28">
        <f t="shared" si="2"/>
        <v>1108.03324099723</v>
      </c>
      <c r="F70" s="18"/>
      <c r="G70" s="53"/>
      <c r="H70" s="54"/>
      <c r="I70" s="54"/>
      <c r="J70" s="13"/>
      <c r="K70" s="14"/>
    </row>
    <row r="71" spans="1:11" ht="15.75" customHeight="1">
      <c r="A71" s="2" t="s">
        <v>111</v>
      </c>
      <c r="B71" s="48" t="s">
        <v>48</v>
      </c>
      <c r="C71" s="3">
        <v>1.25</v>
      </c>
      <c r="D71" s="26">
        <f>4*5</f>
        <v>20</v>
      </c>
      <c r="E71" s="26">
        <f t="shared" si="2"/>
        <v>138.50415512465375</v>
      </c>
      <c r="F71" s="5">
        <f>AVERAGE(E71:E73)</f>
        <v>858.72576177285316</v>
      </c>
      <c r="G71" s="49">
        <v>50</v>
      </c>
      <c r="H71" s="48">
        <v>21000</v>
      </c>
      <c r="I71" s="48">
        <v>15</v>
      </c>
      <c r="J71" s="13"/>
      <c r="K71" s="14"/>
    </row>
    <row r="72" spans="1:11" ht="15.75" customHeight="1">
      <c r="A72" s="8" t="s">
        <v>112</v>
      </c>
      <c r="B72" s="50" t="s">
        <v>48</v>
      </c>
      <c r="C72" s="9">
        <v>3.36</v>
      </c>
      <c r="D72" s="27">
        <f>4*63</f>
        <v>252</v>
      </c>
      <c r="E72" s="27">
        <f t="shared" si="2"/>
        <v>1745.152354570637</v>
      </c>
      <c r="F72" s="12"/>
      <c r="G72" s="51"/>
      <c r="H72" s="50"/>
      <c r="I72" s="50"/>
      <c r="J72" s="13"/>
      <c r="K72" s="14"/>
    </row>
    <row r="73" spans="1:11" ht="15.75" customHeight="1">
      <c r="A73" s="15" t="s">
        <v>113</v>
      </c>
      <c r="B73" s="52" t="s">
        <v>48</v>
      </c>
      <c r="C73" s="16"/>
      <c r="D73" s="28">
        <f>4*25</f>
        <v>100</v>
      </c>
      <c r="E73" s="28">
        <f t="shared" si="2"/>
        <v>692.52077562326872</v>
      </c>
      <c r="F73" s="18"/>
      <c r="G73" s="53"/>
      <c r="H73" s="54"/>
      <c r="I73" s="54"/>
      <c r="J73" s="13"/>
      <c r="K73" s="14"/>
    </row>
    <row r="74" spans="1:11" ht="15.75" customHeight="1">
      <c r="A74" s="2" t="s">
        <v>114</v>
      </c>
      <c r="B74" s="48" t="s">
        <v>48</v>
      </c>
      <c r="C74" s="3">
        <v>0.1</v>
      </c>
      <c r="D74" s="26">
        <f>4*27</f>
        <v>108</v>
      </c>
      <c r="E74" s="26">
        <f t="shared" si="2"/>
        <v>747.92243767313016</v>
      </c>
      <c r="F74" s="5">
        <f>AVERAGE(E74:E76)</f>
        <v>1348.107109879963</v>
      </c>
      <c r="G74" s="49">
        <v>60</v>
      </c>
      <c r="H74" s="48">
        <v>20500</v>
      </c>
      <c r="I74" s="48">
        <v>15</v>
      </c>
      <c r="J74" s="13"/>
      <c r="K74" s="14"/>
    </row>
    <row r="75" spans="1:11" ht="15.75" customHeight="1">
      <c r="A75" s="8" t="s">
        <v>115</v>
      </c>
      <c r="B75" s="50" t="s">
        <v>48</v>
      </c>
      <c r="C75" s="9">
        <v>0.1</v>
      </c>
      <c r="D75" s="27">
        <f>4*68</f>
        <v>272</v>
      </c>
      <c r="E75" s="27">
        <f t="shared" si="2"/>
        <v>1883.6565096952909</v>
      </c>
      <c r="F75" s="12"/>
      <c r="G75" s="51"/>
      <c r="H75" s="50"/>
      <c r="I75" s="50"/>
      <c r="J75" s="13"/>
      <c r="K75" s="14"/>
    </row>
    <row r="76" spans="1:11" ht="15.75" customHeight="1">
      <c r="A76" s="15" t="s">
        <v>116</v>
      </c>
      <c r="B76" s="52" t="s">
        <v>48</v>
      </c>
      <c r="C76" s="16">
        <v>0.66</v>
      </c>
      <c r="D76" s="28">
        <f>4*51</f>
        <v>204</v>
      </c>
      <c r="E76" s="28">
        <f t="shared" si="2"/>
        <v>1412.7423822714682</v>
      </c>
      <c r="F76" s="18"/>
      <c r="G76" s="53"/>
      <c r="H76" s="54"/>
      <c r="I76" s="54"/>
      <c r="J76" s="13"/>
      <c r="K76" s="14"/>
    </row>
    <row r="77" spans="1:11" ht="15.75" customHeight="1">
      <c r="A77" s="2" t="s">
        <v>117</v>
      </c>
      <c r="B77" s="48" t="s">
        <v>48</v>
      </c>
      <c r="C77" s="3">
        <v>6.15</v>
      </c>
      <c r="D77" s="26">
        <f>4*31</f>
        <v>124</v>
      </c>
      <c r="E77" s="26">
        <f t="shared" si="2"/>
        <v>858.72576177285316</v>
      </c>
      <c r="F77" s="5">
        <f>AVERAGE(E77:E79)</f>
        <v>757.15604801477377</v>
      </c>
      <c r="G77" s="49">
        <v>60</v>
      </c>
      <c r="H77" s="48">
        <v>15000</v>
      </c>
      <c r="I77" s="48">
        <v>15</v>
      </c>
      <c r="J77" s="13"/>
      <c r="K77" s="14"/>
    </row>
    <row r="78" spans="1:11" ht="15.75" customHeight="1">
      <c r="A78" s="8" t="s">
        <v>118</v>
      </c>
      <c r="B78" s="50" t="s">
        <v>48</v>
      </c>
      <c r="C78" s="9">
        <v>5.29</v>
      </c>
      <c r="D78" s="27">
        <f>4*11</f>
        <v>44</v>
      </c>
      <c r="E78" s="27">
        <f t="shared" si="2"/>
        <v>304.70914127423822</v>
      </c>
      <c r="F78" s="12"/>
      <c r="G78" s="51"/>
      <c r="H78" s="50"/>
      <c r="I78" s="50"/>
      <c r="J78" s="13"/>
      <c r="K78" s="14"/>
    </row>
    <row r="79" spans="1:11" ht="15.75" customHeight="1">
      <c r="A79" s="15" t="s">
        <v>119</v>
      </c>
      <c r="B79" s="52" t="s">
        <v>48</v>
      </c>
      <c r="C79" s="16">
        <v>1.27</v>
      </c>
      <c r="D79" s="28">
        <f>4*40</f>
        <v>160</v>
      </c>
      <c r="E79" s="28">
        <f t="shared" si="2"/>
        <v>1108.03324099723</v>
      </c>
      <c r="F79" s="18"/>
      <c r="G79" s="53"/>
      <c r="H79" s="54"/>
      <c r="I79" s="54"/>
      <c r="J79" s="13"/>
      <c r="K79" s="14"/>
    </row>
    <row r="80" spans="1:11" ht="15.75" customHeight="1">
      <c r="A80" s="2" t="s">
        <v>120</v>
      </c>
      <c r="B80" s="48" t="s">
        <v>48</v>
      </c>
      <c r="C80" s="3">
        <v>5.56</v>
      </c>
      <c r="D80" s="26">
        <f>4*11</f>
        <v>44</v>
      </c>
      <c r="E80" s="26">
        <f t="shared" si="2"/>
        <v>304.70914127423822</v>
      </c>
      <c r="F80" s="5">
        <f>AVERAGE(E80:E81)</f>
        <v>373.96121883656508</v>
      </c>
      <c r="G80" s="49">
        <v>60</v>
      </c>
      <c r="H80" s="48">
        <v>15000</v>
      </c>
      <c r="I80" s="48">
        <v>15</v>
      </c>
      <c r="J80" s="13"/>
      <c r="K80" s="14"/>
    </row>
    <row r="81" spans="1:11" ht="15.75" customHeight="1">
      <c r="A81" s="8" t="s">
        <v>121</v>
      </c>
      <c r="B81" s="50" t="s">
        <v>48</v>
      </c>
      <c r="C81" s="9">
        <v>4.5999999999999996</v>
      </c>
      <c r="D81" s="27">
        <f>4*16</f>
        <v>64</v>
      </c>
      <c r="E81" s="27">
        <f t="shared" si="2"/>
        <v>443.21329639889194</v>
      </c>
      <c r="F81" s="12"/>
      <c r="G81" s="51"/>
      <c r="H81" s="50"/>
      <c r="I81" s="50"/>
      <c r="J81" s="13"/>
      <c r="K81" s="14"/>
    </row>
    <row r="82" spans="1:11" ht="15.75" customHeight="1">
      <c r="A82" s="29" t="s">
        <v>122</v>
      </c>
      <c r="B82" s="58" t="s">
        <v>48</v>
      </c>
      <c r="C82" s="30"/>
      <c r="D82" s="31">
        <v>0</v>
      </c>
      <c r="E82" s="31">
        <f t="shared" si="2"/>
        <v>0</v>
      </c>
      <c r="F82" s="32"/>
      <c r="G82" s="59"/>
      <c r="H82" s="60"/>
      <c r="I82" s="60"/>
      <c r="J82" s="13"/>
      <c r="K82" s="14"/>
    </row>
    <row r="83" spans="1:11" ht="15.75" customHeight="1">
      <c r="A83" s="2" t="s">
        <v>123</v>
      </c>
      <c r="B83" s="48" t="s">
        <v>48</v>
      </c>
      <c r="C83" s="3">
        <v>1.21</v>
      </c>
      <c r="D83" s="26">
        <f>4*23</f>
        <v>92</v>
      </c>
      <c r="E83" s="26">
        <f t="shared" si="2"/>
        <v>637.11911357340716</v>
      </c>
      <c r="F83" s="5">
        <f>AVERAGE(E83:E84)</f>
        <v>526.31578947368416</v>
      </c>
      <c r="G83" s="49">
        <v>60</v>
      </c>
      <c r="H83" s="48">
        <v>15000</v>
      </c>
      <c r="I83" s="48">
        <v>15</v>
      </c>
      <c r="J83" s="13"/>
      <c r="K83" s="14"/>
    </row>
    <row r="84" spans="1:11" ht="15.75" customHeight="1">
      <c r="A84" s="8" t="s">
        <v>124</v>
      </c>
      <c r="B84" s="50" t="s">
        <v>48</v>
      </c>
      <c r="C84" s="9">
        <v>1.41</v>
      </c>
      <c r="D84" s="27">
        <f>4*15</f>
        <v>60</v>
      </c>
      <c r="E84" s="27">
        <f t="shared" si="2"/>
        <v>415.51246537396122</v>
      </c>
      <c r="F84" s="12"/>
      <c r="G84" s="51"/>
      <c r="H84" s="50"/>
      <c r="I84" s="50"/>
      <c r="J84" s="13"/>
      <c r="K84" s="14"/>
    </row>
    <row r="85" spans="1:11" ht="15.75" customHeight="1">
      <c r="A85" s="29" t="s">
        <v>125</v>
      </c>
      <c r="B85" s="58" t="s">
        <v>48</v>
      </c>
      <c r="C85" s="30">
        <v>1.63</v>
      </c>
      <c r="D85" s="31">
        <v>0</v>
      </c>
      <c r="E85" s="31">
        <f t="shared" si="2"/>
        <v>0</v>
      </c>
      <c r="F85" s="32"/>
      <c r="G85" s="59"/>
      <c r="H85" s="60"/>
      <c r="I85" s="60"/>
      <c r="J85" s="13"/>
      <c r="K85" s="14"/>
    </row>
    <row r="86" spans="1:11" ht="15.75" customHeight="1">
      <c r="A86" s="2" t="s">
        <v>126</v>
      </c>
      <c r="B86" s="48" t="s">
        <v>48</v>
      </c>
      <c r="C86" s="3">
        <v>2.46</v>
      </c>
      <c r="D86" s="26">
        <f>4*8</f>
        <v>32</v>
      </c>
      <c r="E86" s="26">
        <f t="shared" si="2"/>
        <v>221.60664819944597</v>
      </c>
      <c r="F86" s="5">
        <f>AVERAGE(E86:E88)</f>
        <v>120.03693444136657</v>
      </c>
      <c r="G86" s="49">
        <v>50</v>
      </c>
      <c r="H86" s="48">
        <v>6400</v>
      </c>
      <c r="I86" s="48">
        <v>355</v>
      </c>
      <c r="J86" s="13"/>
      <c r="K86" s="14"/>
    </row>
    <row r="87" spans="1:11" ht="15.75" customHeight="1">
      <c r="A87" s="8" t="s">
        <v>127</v>
      </c>
      <c r="B87" s="50" t="s">
        <v>48</v>
      </c>
      <c r="C87" s="9">
        <v>2.12</v>
      </c>
      <c r="D87" s="27">
        <f>4*1</f>
        <v>4</v>
      </c>
      <c r="E87" s="27">
        <f t="shared" si="2"/>
        <v>27.700831024930746</v>
      </c>
      <c r="F87" s="12"/>
      <c r="G87" s="51"/>
      <c r="H87" s="50"/>
      <c r="I87" s="50"/>
      <c r="J87" s="13"/>
      <c r="K87" s="14"/>
    </row>
    <row r="88" spans="1:11" ht="15.75" customHeight="1">
      <c r="A88" s="15" t="s">
        <v>128</v>
      </c>
      <c r="B88" s="52" t="s">
        <v>48</v>
      </c>
      <c r="C88" s="16">
        <v>0.71</v>
      </c>
      <c r="D88" s="28">
        <f>4*4</f>
        <v>16</v>
      </c>
      <c r="E88" s="28">
        <f t="shared" si="2"/>
        <v>110.80332409972299</v>
      </c>
      <c r="F88" s="18"/>
      <c r="G88" s="53"/>
      <c r="H88" s="54"/>
      <c r="I88" s="54"/>
      <c r="J88" s="13"/>
      <c r="K88" s="14"/>
    </row>
    <row r="89" spans="1:11" ht="15.75" customHeight="1">
      <c r="A89" s="2" t="s">
        <v>129</v>
      </c>
      <c r="B89" s="48" t="s">
        <v>48</v>
      </c>
      <c r="C89" s="3">
        <v>3.37</v>
      </c>
      <c r="D89" s="26">
        <f>4*5</f>
        <v>20</v>
      </c>
      <c r="E89" s="26">
        <f t="shared" si="2"/>
        <v>138.50415512465375</v>
      </c>
      <c r="F89" s="5">
        <f>AVERAGE(E89:E91)</f>
        <v>120.03693444136657</v>
      </c>
      <c r="G89" s="49">
        <v>50</v>
      </c>
      <c r="H89" s="48">
        <v>10000</v>
      </c>
      <c r="I89" s="48">
        <v>700</v>
      </c>
      <c r="J89" s="13"/>
      <c r="K89" s="14"/>
    </row>
    <row r="90" spans="1:11" ht="15.75" customHeight="1">
      <c r="A90" s="8" t="s">
        <v>130</v>
      </c>
      <c r="B90" s="50" t="s">
        <v>48</v>
      </c>
      <c r="C90" s="9">
        <v>4.3899999999999997</v>
      </c>
      <c r="D90" s="27">
        <f t="shared" ref="D90:D91" si="3">4*4</f>
        <v>16</v>
      </c>
      <c r="E90" s="27">
        <f t="shared" si="2"/>
        <v>110.80332409972299</v>
      </c>
      <c r="F90" s="12"/>
      <c r="G90" s="51"/>
      <c r="H90" s="50"/>
      <c r="I90" s="50"/>
      <c r="J90" s="13"/>
      <c r="K90" s="14"/>
    </row>
    <row r="91" spans="1:11" ht="15.75" customHeight="1">
      <c r="A91" s="15" t="s">
        <v>131</v>
      </c>
      <c r="B91" s="52" t="s">
        <v>48</v>
      </c>
      <c r="C91" s="16">
        <v>7.72</v>
      </c>
      <c r="D91" s="28">
        <f t="shared" si="3"/>
        <v>16</v>
      </c>
      <c r="E91" s="28">
        <f t="shared" si="2"/>
        <v>110.80332409972299</v>
      </c>
      <c r="F91" s="18"/>
      <c r="G91" s="53"/>
      <c r="H91" s="54"/>
      <c r="I91" s="54"/>
      <c r="J91" s="13"/>
      <c r="K91" s="14"/>
    </row>
    <row r="92" spans="1:11" ht="15.75" customHeight="1">
      <c r="A92" s="2" t="s">
        <v>132</v>
      </c>
      <c r="B92" s="48" t="s">
        <v>48</v>
      </c>
      <c r="C92" s="3">
        <v>21</v>
      </c>
      <c r="D92" s="26">
        <f>4*27</f>
        <v>108</v>
      </c>
      <c r="E92" s="26">
        <f t="shared" si="2"/>
        <v>747.92243767313016</v>
      </c>
      <c r="F92" s="5">
        <f>AVERAGE(E92:E94)</f>
        <v>840.25854108956594</v>
      </c>
      <c r="G92" s="49">
        <v>50</v>
      </c>
      <c r="H92" s="48">
        <v>3900</v>
      </c>
      <c r="I92" s="48">
        <v>340</v>
      </c>
      <c r="J92" s="13"/>
      <c r="K92" s="14"/>
    </row>
    <row r="93" spans="1:11" ht="15.75" customHeight="1">
      <c r="A93" s="8" t="s">
        <v>133</v>
      </c>
      <c r="B93" s="50" t="s">
        <v>48</v>
      </c>
      <c r="C93" s="9">
        <v>24.2</v>
      </c>
      <c r="D93" s="27">
        <f>4*25</f>
        <v>100</v>
      </c>
      <c r="E93" s="27">
        <f t="shared" si="2"/>
        <v>692.52077562326872</v>
      </c>
      <c r="F93" s="12"/>
      <c r="G93" s="51"/>
      <c r="H93" s="50"/>
      <c r="I93" s="50"/>
      <c r="J93" s="13"/>
      <c r="K93" s="14"/>
    </row>
    <row r="94" spans="1:11" ht="15.75" customHeight="1">
      <c r="A94" s="15" t="s">
        <v>134</v>
      </c>
      <c r="B94" s="52" t="s">
        <v>48</v>
      </c>
      <c r="C94" s="16">
        <v>45.03</v>
      </c>
      <c r="D94" s="28">
        <f>4*39</f>
        <v>156</v>
      </c>
      <c r="E94" s="28">
        <f t="shared" si="2"/>
        <v>1080.3324099722993</v>
      </c>
      <c r="F94" s="18"/>
      <c r="G94" s="53"/>
      <c r="H94" s="54"/>
      <c r="I94" s="54"/>
      <c r="J94" s="13"/>
      <c r="K94" s="14"/>
    </row>
    <row r="95" spans="1:11" ht="15.75" customHeight="1">
      <c r="A95" s="2" t="s">
        <v>135</v>
      </c>
      <c r="B95" s="48" t="s">
        <v>48</v>
      </c>
      <c r="C95" s="3">
        <v>3.99</v>
      </c>
      <c r="D95" s="26">
        <f>4*12</f>
        <v>48</v>
      </c>
      <c r="E95" s="26">
        <f t="shared" si="2"/>
        <v>332.409972299169</v>
      </c>
      <c r="F95" s="5">
        <f>AVERAGE(E95:E97)</f>
        <v>193.90581717451528</v>
      </c>
      <c r="G95" s="49">
        <v>50</v>
      </c>
      <c r="H95" s="48">
        <v>2500</v>
      </c>
      <c r="I95" s="48">
        <v>12</v>
      </c>
      <c r="J95" s="13"/>
      <c r="K95" s="14"/>
    </row>
    <row r="96" spans="1:11" ht="15.75" customHeight="1">
      <c r="A96" s="8" t="s">
        <v>136</v>
      </c>
      <c r="B96" s="50" t="s">
        <v>48</v>
      </c>
      <c r="C96" s="9">
        <v>5.36</v>
      </c>
      <c r="D96" s="27">
        <f>4*3</f>
        <v>12</v>
      </c>
      <c r="E96" s="27">
        <f t="shared" si="2"/>
        <v>83.10249307479225</v>
      </c>
      <c r="F96" s="12"/>
      <c r="G96" s="51"/>
      <c r="H96" s="50"/>
      <c r="I96" s="50"/>
      <c r="J96" s="13"/>
      <c r="K96" s="14"/>
    </row>
    <row r="97" spans="1:12" ht="15.75" customHeight="1">
      <c r="A97" s="33" t="s">
        <v>137</v>
      </c>
      <c r="B97" s="52" t="s">
        <v>48</v>
      </c>
      <c r="C97" s="16">
        <v>2.33</v>
      </c>
      <c r="D97" s="28">
        <f>4*6</f>
        <v>24</v>
      </c>
      <c r="E97" s="28">
        <f t="shared" si="2"/>
        <v>166.2049861495845</v>
      </c>
      <c r="F97" s="18"/>
      <c r="G97" s="53"/>
      <c r="H97" s="54"/>
      <c r="I97" s="54"/>
      <c r="J97" s="13"/>
      <c r="K97" s="14"/>
    </row>
    <row r="98" spans="1:12" ht="15.75" customHeight="1">
      <c r="A98" s="8" t="s">
        <v>138</v>
      </c>
      <c r="B98" s="57" t="s">
        <v>88</v>
      </c>
      <c r="C98" s="9">
        <v>1.07</v>
      </c>
      <c r="D98" s="27">
        <v>56</v>
      </c>
      <c r="E98" s="27"/>
      <c r="F98" s="12"/>
      <c r="G98" s="51"/>
      <c r="H98" s="50"/>
      <c r="I98" s="50">
        <v>310</v>
      </c>
      <c r="J98" s="13"/>
      <c r="K98" s="14"/>
    </row>
    <row r="99" spans="1:12" ht="15.75" customHeight="1">
      <c r="A99" s="8" t="s">
        <v>139</v>
      </c>
      <c r="B99" s="57" t="s">
        <v>88</v>
      </c>
      <c r="C99" s="9">
        <v>1.46</v>
      </c>
      <c r="D99" s="27">
        <f>4*7</f>
        <v>28</v>
      </c>
      <c r="E99" s="27"/>
      <c r="F99" s="12"/>
      <c r="G99" s="51"/>
      <c r="H99" s="50"/>
      <c r="I99" s="50">
        <v>310</v>
      </c>
      <c r="J99" s="13"/>
      <c r="K99" s="14"/>
    </row>
    <row r="100" spans="1:12" ht="15.75" customHeight="1">
      <c r="A100" s="2" t="s">
        <v>140</v>
      </c>
      <c r="B100" s="48" t="s">
        <v>48</v>
      </c>
      <c r="C100" s="3">
        <v>2.77</v>
      </c>
      <c r="D100" s="26">
        <f>4*73</f>
        <v>292</v>
      </c>
      <c r="E100" s="26">
        <f t="shared" ref="E100:E141" si="4">D100/(0.38^2)</f>
        <v>2022.1606648199445</v>
      </c>
      <c r="F100" s="5">
        <f>AVERAGE(E100:E102)</f>
        <v>1375.8079409048939</v>
      </c>
      <c r="G100" s="49">
        <v>50</v>
      </c>
      <c r="H100" s="48">
        <v>2700</v>
      </c>
      <c r="I100" s="48">
        <v>13</v>
      </c>
      <c r="J100" s="11">
        <f>AVERAGE(F100:F141)</f>
        <v>1565.4267247065031</v>
      </c>
      <c r="K100" s="7" t="s">
        <v>11</v>
      </c>
      <c r="L100" s="34">
        <v>846.19443345205116</v>
      </c>
    </row>
    <row r="101" spans="1:12" ht="15.75" customHeight="1">
      <c r="A101" s="8" t="s">
        <v>141</v>
      </c>
      <c r="B101" s="50" t="s">
        <v>48</v>
      </c>
      <c r="C101" s="9">
        <v>1.52</v>
      </c>
      <c r="D101" s="27">
        <f>4*18</f>
        <v>72</v>
      </c>
      <c r="E101" s="27">
        <f t="shared" si="4"/>
        <v>498.61495844875344</v>
      </c>
      <c r="F101" s="12"/>
      <c r="G101" s="51"/>
      <c r="H101" s="50"/>
      <c r="I101" s="50"/>
      <c r="J101" s="13">
        <f>AVERAGE(H100:H145)</f>
        <v>10020</v>
      </c>
      <c r="K101" s="14" t="s">
        <v>13</v>
      </c>
    </row>
    <row r="102" spans="1:12" ht="15.75" customHeight="1">
      <c r="A102" s="15" t="s">
        <v>142</v>
      </c>
      <c r="B102" s="52" t="s">
        <v>48</v>
      </c>
      <c r="C102" s="16">
        <v>2.33</v>
      </c>
      <c r="D102" s="28">
        <f>4*58</f>
        <v>232</v>
      </c>
      <c r="E102" s="28">
        <f t="shared" si="4"/>
        <v>1606.6481994459834</v>
      </c>
      <c r="F102" s="18"/>
      <c r="G102" s="53"/>
      <c r="H102" s="54"/>
      <c r="I102" s="54"/>
      <c r="J102" s="19">
        <f>AVERAGE(G100:G141)</f>
        <v>54.285714285714285</v>
      </c>
      <c r="K102" s="20" t="s">
        <v>15</v>
      </c>
    </row>
    <row r="103" spans="1:12" ht="15.75" customHeight="1">
      <c r="A103" s="2" t="s">
        <v>143</v>
      </c>
      <c r="B103" s="48" t="s">
        <v>48</v>
      </c>
      <c r="C103" s="3">
        <v>2.097</v>
      </c>
      <c r="D103" s="26">
        <f>4*6</f>
        <v>24</v>
      </c>
      <c r="E103" s="26">
        <f t="shared" si="4"/>
        <v>166.2049861495845</v>
      </c>
      <c r="F103" s="5">
        <f>AVERAGE(E103:E105)</f>
        <v>64.635272391505083</v>
      </c>
      <c r="G103" s="49">
        <v>60</v>
      </c>
      <c r="H103" s="48">
        <v>13500</v>
      </c>
      <c r="I103" s="48">
        <v>643</v>
      </c>
      <c r="J103" s="6"/>
      <c r="K103" s="7"/>
    </row>
    <row r="104" spans="1:12" ht="15.75" customHeight="1">
      <c r="A104" s="8" t="s">
        <v>144</v>
      </c>
      <c r="B104" s="50" t="s">
        <v>48</v>
      </c>
      <c r="C104" s="9">
        <v>4.4000000000000004</v>
      </c>
      <c r="D104" s="27">
        <f>4*1</f>
        <v>4</v>
      </c>
      <c r="E104" s="27">
        <f t="shared" si="4"/>
        <v>27.700831024930746</v>
      </c>
      <c r="F104" s="12"/>
      <c r="G104" s="51"/>
      <c r="H104" s="50"/>
      <c r="I104" s="50"/>
      <c r="J104" s="13"/>
      <c r="K104" s="14"/>
    </row>
    <row r="105" spans="1:12" ht="15.75" customHeight="1">
      <c r="A105" s="15" t="s">
        <v>145</v>
      </c>
      <c r="B105" s="52" t="s">
        <v>48</v>
      </c>
      <c r="C105" s="16">
        <v>7.55</v>
      </c>
      <c r="D105" s="28">
        <f>4*0</f>
        <v>0</v>
      </c>
      <c r="E105" s="28">
        <f t="shared" si="4"/>
        <v>0</v>
      </c>
      <c r="F105" s="18"/>
      <c r="G105" s="53"/>
      <c r="H105" s="54"/>
      <c r="I105" s="54"/>
      <c r="J105" s="13"/>
      <c r="K105" s="14"/>
    </row>
    <row r="106" spans="1:12" ht="15.75" customHeight="1">
      <c r="A106" s="2" t="s">
        <v>146</v>
      </c>
      <c r="B106" s="48" t="s">
        <v>48</v>
      </c>
      <c r="C106" s="3">
        <v>15.36</v>
      </c>
      <c r="D106" s="26">
        <f>4*30</f>
        <v>120</v>
      </c>
      <c r="E106" s="26">
        <f t="shared" si="4"/>
        <v>831.02493074792244</v>
      </c>
      <c r="F106" s="5">
        <f>AVERAGE(E106:E108)</f>
        <v>1015.697137580794</v>
      </c>
      <c r="G106" s="49">
        <v>60</v>
      </c>
      <c r="H106" s="48">
        <v>13500</v>
      </c>
      <c r="I106" s="48">
        <v>440</v>
      </c>
      <c r="J106" s="13"/>
      <c r="K106" s="14"/>
    </row>
    <row r="107" spans="1:12" ht="15.75" customHeight="1">
      <c r="A107" s="8" t="s">
        <v>147</v>
      </c>
      <c r="B107" s="50" t="s">
        <v>48</v>
      </c>
      <c r="C107" s="9">
        <v>9.15</v>
      </c>
      <c r="D107" s="27">
        <f>4*42</f>
        <v>168</v>
      </c>
      <c r="E107" s="27">
        <f t="shared" si="4"/>
        <v>1163.4349030470914</v>
      </c>
      <c r="F107" s="12"/>
      <c r="G107" s="51"/>
      <c r="H107" s="50"/>
      <c r="I107" s="50"/>
      <c r="J107" s="13"/>
      <c r="K107" s="14"/>
    </row>
    <row r="108" spans="1:12" ht="15.75" customHeight="1">
      <c r="A108" s="15" t="s">
        <v>148</v>
      </c>
      <c r="B108" s="52" t="s">
        <v>48</v>
      </c>
      <c r="C108" s="16">
        <v>4.2</v>
      </c>
      <c r="D108" s="28">
        <f>4*38</f>
        <v>152</v>
      </c>
      <c r="E108" s="28">
        <f t="shared" si="4"/>
        <v>1052.6315789473683</v>
      </c>
      <c r="F108" s="18"/>
      <c r="G108" s="53"/>
      <c r="H108" s="54"/>
      <c r="I108" s="54"/>
      <c r="J108" s="13"/>
      <c r="K108" s="14"/>
    </row>
    <row r="109" spans="1:12" ht="15.75" customHeight="1">
      <c r="A109" s="2" t="s">
        <v>149</v>
      </c>
      <c r="B109" s="48" t="s">
        <v>48</v>
      </c>
      <c r="C109" s="3">
        <v>1.26</v>
      </c>
      <c r="D109" s="26">
        <f>4*78</f>
        <v>312</v>
      </c>
      <c r="E109" s="26">
        <f t="shared" si="4"/>
        <v>2160.6648199445985</v>
      </c>
      <c r="F109" s="5">
        <f>AVERAGE(E109:E111)</f>
        <v>803.32409972299172</v>
      </c>
      <c r="G109" s="49">
        <v>60</v>
      </c>
      <c r="H109" s="48">
        <v>12500</v>
      </c>
      <c r="I109" s="48">
        <v>298</v>
      </c>
      <c r="J109" s="13"/>
      <c r="K109" s="14"/>
    </row>
    <row r="110" spans="1:12" ht="15.75" customHeight="1">
      <c r="A110" s="8" t="s">
        <v>150</v>
      </c>
      <c r="B110" s="50" t="s">
        <v>48</v>
      </c>
      <c r="C110" s="9">
        <v>0.24</v>
      </c>
      <c r="D110" s="27">
        <f>4*6</f>
        <v>24</v>
      </c>
      <c r="E110" s="27">
        <f t="shared" si="4"/>
        <v>166.2049861495845</v>
      </c>
      <c r="F110" s="12"/>
      <c r="G110" s="51"/>
      <c r="H110" s="50"/>
      <c r="I110" s="50"/>
      <c r="J110" s="13"/>
      <c r="K110" s="14"/>
    </row>
    <row r="111" spans="1:12" ht="15.75" customHeight="1">
      <c r="A111" s="15" t="s">
        <v>151</v>
      </c>
      <c r="B111" s="52" t="s">
        <v>48</v>
      </c>
      <c r="C111" s="16">
        <v>1.65</v>
      </c>
      <c r="D111" s="28">
        <f>4*3</f>
        <v>12</v>
      </c>
      <c r="E111" s="28">
        <f t="shared" si="4"/>
        <v>83.10249307479225</v>
      </c>
      <c r="F111" s="18"/>
      <c r="G111" s="53"/>
      <c r="H111" s="54"/>
      <c r="I111" s="54"/>
      <c r="J111" s="13"/>
      <c r="K111" s="14"/>
    </row>
    <row r="112" spans="1:12" ht="15.75" customHeight="1">
      <c r="A112" s="2" t="s">
        <v>152</v>
      </c>
      <c r="B112" s="48" t="s">
        <v>48</v>
      </c>
      <c r="C112" s="3">
        <v>1.33</v>
      </c>
      <c r="D112" s="26">
        <f>4*7</f>
        <v>28</v>
      </c>
      <c r="E112" s="26">
        <f t="shared" si="4"/>
        <v>193.90581717451522</v>
      </c>
      <c r="F112" s="5">
        <f>AVERAGE(E112:E114)</f>
        <v>92.336103416435819</v>
      </c>
      <c r="G112" s="49">
        <v>60</v>
      </c>
      <c r="H112" s="48">
        <v>12500</v>
      </c>
      <c r="I112" s="48">
        <v>310</v>
      </c>
      <c r="J112" s="13"/>
      <c r="K112" s="14"/>
    </row>
    <row r="113" spans="1:11" ht="15.75" customHeight="1">
      <c r="A113" s="8" t="s">
        <v>153</v>
      </c>
      <c r="B113" s="50" t="s">
        <v>48</v>
      </c>
      <c r="C113" s="9">
        <v>1.95</v>
      </c>
      <c r="D113" s="27">
        <f>4*3</f>
        <v>12</v>
      </c>
      <c r="E113" s="27">
        <f t="shared" si="4"/>
        <v>83.10249307479225</v>
      </c>
      <c r="F113" s="12"/>
      <c r="G113" s="51"/>
      <c r="H113" s="50"/>
      <c r="I113" s="50"/>
      <c r="J113" s="13"/>
      <c r="K113" s="14"/>
    </row>
    <row r="114" spans="1:11" ht="15.75" customHeight="1">
      <c r="A114" s="15" t="s">
        <v>154</v>
      </c>
      <c r="B114" s="52" t="s">
        <v>48</v>
      </c>
      <c r="C114" s="16">
        <v>1.1200000000000001</v>
      </c>
      <c r="D114" s="28">
        <f>4*0</f>
        <v>0</v>
      </c>
      <c r="E114" s="28">
        <f t="shared" si="4"/>
        <v>0</v>
      </c>
      <c r="F114" s="18"/>
      <c r="G114" s="53"/>
      <c r="H114" s="54"/>
      <c r="I114" s="54"/>
      <c r="J114" s="13"/>
      <c r="K114" s="14"/>
    </row>
    <row r="115" spans="1:11" ht="15.75" customHeight="1">
      <c r="A115" s="2" t="s">
        <v>155</v>
      </c>
      <c r="B115" s="48" t="s">
        <v>48</v>
      </c>
      <c r="C115" s="3">
        <v>0.53</v>
      </c>
      <c r="D115" s="26">
        <f>4*12</f>
        <v>48</v>
      </c>
      <c r="E115" s="26">
        <f t="shared" si="4"/>
        <v>332.409972299169</v>
      </c>
      <c r="F115" s="5">
        <f>AVERAGE(E115:E117)</f>
        <v>230.84025854108958</v>
      </c>
      <c r="G115" s="49">
        <v>60</v>
      </c>
      <c r="H115" s="48">
        <v>9630</v>
      </c>
      <c r="I115" s="48">
        <v>120</v>
      </c>
      <c r="J115" s="13"/>
      <c r="K115" s="14"/>
    </row>
    <row r="116" spans="1:11" ht="15.75" customHeight="1">
      <c r="A116" s="8" t="s">
        <v>156</v>
      </c>
      <c r="B116" s="50" t="s">
        <v>48</v>
      </c>
      <c r="C116" s="9">
        <v>1.9</v>
      </c>
      <c r="D116" s="27">
        <f>4*11</f>
        <v>44</v>
      </c>
      <c r="E116" s="27">
        <f t="shared" si="4"/>
        <v>304.70914127423822</v>
      </c>
      <c r="F116" s="12"/>
      <c r="G116" s="51"/>
      <c r="H116" s="50"/>
      <c r="I116" s="50"/>
      <c r="J116" s="13"/>
      <c r="K116" s="14"/>
    </row>
    <row r="117" spans="1:11" ht="15.75" customHeight="1">
      <c r="A117" s="15" t="s">
        <v>157</v>
      </c>
      <c r="B117" s="52" t="s">
        <v>48</v>
      </c>
      <c r="C117" s="16">
        <v>1.1299999999999999</v>
      </c>
      <c r="D117" s="28">
        <f>4*2</f>
        <v>8</v>
      </c>
      <c r="E117" s="28">
        <f t="shared" si="4"/>
        <v>55.401662049861493</v>
      </c>
      <c r="F117" s="18"/>
      <c r="G117" s="53"/>
      <c r="H117" s="54"/>
      <c r="I117" s="54"/>
      <c r="J117" s="13"/>
      <c r="K117" s="14"/>
    </row>
    <row r="118" spans="1:11" ht="15.75" customHeight="1">
      <c r="A118" s="2" t="s">
        <v>158</v>
      </c>
      <c r="B118" s="48" t="s">
        <v>48</v>
      </c>
      <c r="C118" s="3">
        <v>2.8879999999999999</v>
      </c>
      <c r="D118" s="26">
        <f>4*1</f>
        <v>4</v>
      </c>
      <c r="E118" s="26">
        <f t="shared" si="4"/>
        <v>27.700831024930746</v>
      </c>
      <c r="F118" s="5">
        <f>AVERAGE(E118:E120)</f>
        <v>110.80332409972299</v>
      </c>
      <c r="G118" s="49">
        <v>60</v>
      </c>
      <c r="H118" s="48">
        <v>9630</v>
      </c>
      <c r="I118" s="48">
        <v>30</v>
      </c>
      <c r="J118" s="13"/>
      <c r="K118" s="14"/>
    </row>
    <row r="119" spans="1:11" ht="15.75" customHeight="1">
      <c r="A119" s="8" t="s">
        <v>159</v>
      </c>
      <c r="B119" s="50" t="s">
        <v>48</v>
      </c>
      <c r="C119" s="9">
        <v>0.96</v>
      </c>
      <c r="D119" s="27">
        <f>4*10</f>
        <v>40</v>
      </c>
      <c r="E119" s="27">
        <f t="shared" si="4"/>
        <v>277.0083102493075</v>
      </c>
      <c r="F119" s="12"/>
      <c r="G119" s="51"/>
      <c r="H119" s="50"/>
      <c r="I119" s="50"/>
      <c r="J119" s="13"/>
      <c r="K119" s="14"/>
    </row>
    <row r="120" spans="1:11" ht="15.75" customHeight="1">
      <c r="A120" s="15" t="s">
        <v>160</v>
      </c>
      <c r="B120" s="52" t="s">
        <v>48</v>
      </c>
      <c r="C120" s="16">
        <v>2.2999999999999998</v>
      </c>
      <c r="D120" s="28">
        <f>4*1</f>
        <v>4</v>
      </c>
      <c r="E120" s="28">
        <f t="shared" si="4"/>
        <v>27.700831024930746</v>
      </c>
      <c r="F120" s="18"/>
      <c r="G120" s="53"/>
      <c r="H120" s="54"/>
      <c r="I120" s="54"/>
      <c r="J120" s="13"/>
      <c r="K120" s="14"/>
    </row>
    <row r="121" spans="1:11" ht="15.75" customHeight="1">
      <c r="A121" s="2" t="s">
        <v>161</v>
      </c>
      <c r="B121" s="48" t="s">
        <v>48</v>
      </c>
      <c r="C121" s="3">
        <v>0.28999999999999998</v>
      </c>
      <c r="D121" s="26">
        <f>4*16</f>
        <v>64</v>
      </c>
      <c r="E121" s="26">
        <f t="shared" si="4"/>
        <v>443.21329639889194</v>
      </c>
      <c r="F121" s="5">
        <f>AVERAGE(E121:E123)</f>
        <v>193.90581717451519</v>
      </c>
      <c r="G121" s="49">
        <v>50</v>
      </c>
      <c r="H121" s="48">
        <v>10800</v>
      </c>
      <c r="I121" s="48">
        <v>400</v>
      </c>
      <c r="J121" s="13"/>
      <c r="K121" s="14"/>
    </row>
    <row r="122" spans="1:11" ht="15.75" customHeight="1">
      <c r="A122" s="8" t="s">
        <v>162</v>
      </c>
      <c r="B122" s="50" t="s">
        <v>48</v>
      </c>
      <c r="C122" s="9">
        <v>0.31</v>
      </c>
      <c r="D122" s="27">
        <f>4*3</f>
        <v>12</v>
      </c>
      <c r="E122" s="27">
        <f t="shared" si="4"/>
        <v>83.10249307479225</v>
      </c>
      <c r="F122" s="12"/>
      <c r="G122" s="51"/>
      <c r="H122" s="50"/>
      <c r="I122" s="50"/>
      <c r="J122" s="13"/>
      <c r="K122" s="14"/>
    </row>
    <row r="123" spans="1:11" ht="15.75" customHeight="1">
      <c r="A123" s="15" t="s">
        <v>163</v>
      </c>
      <c r="B123" s="52" t="s">
        <v>48</v>
      </c>
      <c r="C123" s="16">
        <v>0.41</v>
      </c>
      <c r="D123" s="28">
        <f>4*2</f>
        <v>8</v>
      </c>
      <c r="E123" s="28">
        <f t="shared" si="4"/>
        <v>55.401662049861493</v>
      </c>
      <c r="F123" s="18"/>
      <c r="G123" s="53"/>
      <c r="H123" s="54"/>
      <c r="I123" s="54"/>
      <c r="J123" s="13"/>
      <c r="K123" s="14"/>
    </row>
    <row r="124" spans="1:11" ht="15.75" customHeight="1">
      <c r="A124" s="2" t="s">
        <v>164</v>
      </c>
      <c r="B124" s="48" t="s">
        <v>48</v>
      </c>
      <c r="C124" s="3">
        <v>0.46</v>
      </c>
      <c r="D124" s="26">
        <f>4*6</f>
        <v>24</v>
      </c>
      <c r="E124" s="26">
        <f t="shared" si="4"/>
        <v>166.2049861495845</v>
      </c>
      <c r="F124" s="5">
        <f>AVERAGE(E124:E126)</f>
        <v>480.14773776546627</v>
      </c>
      <c r="G124" s="49">
        <v>50</v>
      </c>
      <c r="H124" s="48">
        <v>8600</v>
      </c>
      <c r="I124" s="48">
        <v>413</v>
      </c>
      <c r="J124" s="13"/>
      <c r="K124" s="14"/>
    </row>
    <row r="125" spans="1:11" ht="15.75" customHeight="1">
      <c r="A125" s="8" t="s">
        <v>165</v>
      </c>
      <c r="B125" s="50" t="s">
        <v>48</v>
      </c>
      <c r="C125" s="9">
        <v>0.68</v>
      </c>
      <c r="D125" s="27">
        <f>4*20</f>
        <v>80</v>
      </c>
      <c r="E125" s="27">
        <f t="shared" si="4"/>
        <v>554.016620498615</v>
      </c>
      <c r="F125" s="12"/>
      <c r="G125" s="51"/>
      <c r="H125" s="50"/>
      <c r="I125" s="50"/>
      <c r="J125" s="13"/>
      <c r="K125" s="14"/>
    </row>
    <row r="126" spans="1:11" ht="15.75" customHeight="1">
      <c r="A126" s="15" t="s">
        <v>166</v>
      </c>
      <c r="B126" s="52" t="s">
        <v>48</v>
      </c>
      <c r="C126" s="16">
        <v>0.43</v>
      </c>
      <c r="D126" s="28">
        <f>4*26</f>
        <v>104</v>
      </c>
      <c r="E126" s="28">
        <f t="shared" si="4"/>
        <v>720.22160664819944</v>
      </c>
      <c r="F126" s="18"/>
      <c r="G126" s="53"/>
      <c r="H126" s="54"/>
      <c r="I126" s="54"/>
      <c r="J126" s="13"/>
      <c r="K126" s="14"/>
    </row>
    <row r="127" spans="1:11" ht="15.75" customHeight="1">
      <c r="A127" s="2" t="s">
        <v>167</v>
      </c>
      <c r="B127" s="48" t="s">
        <v>48</v>
      </c>
      <c r="C127" s="3">
        <v>1.28</v>
      </c>
      <c r="D127" s="26">
        <f>4*34</f>
        <v>136</v>
      </c>
      <c r="E127" s="26">
        <f t="shared" si="4"/>
        <v>941.82825484764544</v>
      </c>
      <c r="F127" s="5">
        <f>AVERAGE(E127:E128)</f>
        <v>623.2686980609418</v>
      </c>
      <c r="G127" s="49">
        <v>50</v>
      </c>
      <c r="H127" s="48">
        <v>9000</v>
      </c>
      <c r="I127" s="48">
        <v>206</v>
      </c>
      <c r="J127" s="13"/>
      <c r="K127" s="14"/>
    </row>
    <row r="128" spans="1:11" ht="15.75" customHeight="1">
      <c r="A128" s="8" t="s">
        <v>168</v>
      </c>
      <c r="B128" s="50" t="s">
        <v>48</v>
      </c>
      <c r="C128" s="9">
        <v>16.07</v>
      </c>
      <c r="D128" s="27">
        <f>4*11</f>
        <v>44</v>
      </c>
      <c r="E128" s="27">
        <f t="shared" si="4"/>
        <v>304.70914127423822</v>
      </c>
      <c r="F128" s="12"/>
      <c r="G128" s="51"/>
      <c r="H128" s="50"/>
      <c r="I128" s="50"/>
      <c r="J128" s="13"/>
      <c r="K128" s="14"/>
    </row>
    <row r="129" spans="1:11" ht="15.75" customHeight="1">
      <c r="A129" s="15" t="s">
        <v>169</v>
      </c>
      <c r="B129" s="52" t="s">
        <v>48</v>
      </c>
      <c r="C129" s="16">
        <v>6.79</v>
      </c>
      <c r="D129" s="28">
        <f>4*15</f>
        <v>60</v>
      </c>
      <c r="E129" s="28">
        <f t="shared" si="4"/>
        <v>415.51246537396122</v>
      </c>
      <c r="F129" s="18"/>
      <c r="G129" s="53"/>
      <c r="H129" s="54"/>
      <c r="I129" s="54"/>
      <c r="J129" s="13"/>
      <c r="K129" s="14"/>
    </row>
    <row r="130" spans="1:11" ht="15.75" customHeight="1">
      <c r="A130" s="2" t="s">
        <v>170</v>
      </c>
      <c r="B130" s="48" t="s">
        <v>48</v>
      </c>
      <c r="C130" s="3">
        <v>16.059999999999999</v>
      </c>
      <c r="D130" s="26">
        <f>4*41</f>
        <v>164</v>
      </c>
      <c r="E130" s="26">
        <f t="shared" si="4"/>
        <v>1135.7340720221607</v>
      </c>
      <c r="F130" s="5">
        <f>AVERAGE(E130:E131)</f>
        <v>997.22991689750688</v>
      </c>
      <c r="G130" s="49">
        <v>50</v>
      </c>
      <c r="H130" s="48">
        <v>9600</v>
      </c>
      <c r="I130" s="48">
        <v>170</v>
      </c>
      <c r="J130" s="13"/>
      <c r="K130" s="14"/>
    </row>
    <row r="131" spans="1:11" ht="15.75" customHeight="1">
      <c r="A131" s="8" t="s">
        <v>171</v>
      </c>
      <c r="B131" s="50" t="s">
        <v>48</v>
      </c>
      <c r="C131" s="9">
        <v>7.35</v>
      </c>
      <c r="D131" s="27">
        <f>4*31</f>
        <v>124</v>
      </c>
      <c r="E131" s="27">
        <f t="shared" si="4"/>
        <v>858.72576177285316</v>
      </c>
      <c r="F131" s="12"/>
      <c r="G131" s="51"/>
      <c r="H131" s="50"/>
      <c r="I131" s="50"/>
      <c r="J131" s="13"/>
      <c r="K131" s="14"/>
    </row>
    <row r="132" spans="1:11" ht="15.75" customHeight="1">
      <c r="A132" s="15" t="s">
        <v>172</v>
      </c>
      <c r="B132" s="52" t="s">
        <v>48</v>
      </c>
      <c r="C132" s="16">
        <v>40.54</v>
      </c>
      <c r="D132" s="28">
        <v>0</v>
      </c>
      <c r="E132" s="28">
        <f t="shared" si="4"/>
        <v>0</v>
      </c>
      <c r="F132" s="18"/>
      <c r="G132" s="53"/>
      <c r="H132" s="54"/>
      <c r="I132" s="54"/>
      <c r="J132" s="13"/>
      <c r="K132" s="14"/>
    </row>
    <row r="133" spans="1:11" ht="15.75" customHeight="1">
      <c r="A133" s="2" t="s">
        <v>173</v>
      </c>
      <c r="B133" s="48" t="s">
        <v>48</v>
      </c>
      <c r="C133" s="3">
        <v>20.27</v>
      </c>
      <c r="D133" s="26">
        <f>4*80</f>
        <v>320</v>
      </c>
      <c r="E133" s="26">
        <f t="shared" si="4"/>
        <v>2216.06648199446</v>
      </c>
      <c r="F133" s="5">
        <f>AVERAGE(E133:E135)</f>
        <v>1246.5373961218836</v>
      </c>
      <c r="G133" s="49">
        <v>50</v>
      </c>
      <c r="H133" s="48">
        <v>9440</v>
      </c>
      <c r="I133" s="48">
        <v>13</v>
      </c>
      <c r="J133" s="13"/>
      <c r="K133" s="14"/>
    </row>
    <row r="134" spans="1:11" ht="15.75" customHeight="1">
      <c r="A134" s="8" t="s">
        <v>174</v>
      </c>
      <c r="B134" s="50" t="s">
        <v>48</v>
      </c>
      <c r="C134" s="9">
        <v>9.5399999999999991</v>
      </c>
      <c r="D134" s="27">
        <f>4*37</f>
        <v>148</v>
      </c>
      <c r="E134" s="27">
        <f t="shared" si="4"/>
        <v>1024.9307479224376</v>
      </c>
      <c r="F134" s="12"/>
      <c r="G134" s="51"/>
      <c r="H134" s="50"/>
      <c r="I134" s="50"/>
      <c r="J134" s="13"/>
      <c r="K134" s="14"/>
    </row>
    <row r="135" spans="1:11" ht="15.75" customHeight="1">
      <c r="A135" s="15" t="s">
        <v>175</v>
      </c>
      <c r="B135" s="52" t="s">
        <v>48</v>
      </c>
      <c r="C135" s="16">
        <v>19.399999999999999</v>
      </c>
      <c r="D135" s="28">
        <f>4*18</f>
        <v>72</v>
      </c>
      <c r="E135" s="28">
        <f t="shared" si="4"/>
        <v>498.61495844875344</v>
      </c>
      <c r="F135" s="18"/>
      <c r="G135" s="53"/>
      <c r="H135" s="54"/>
      <c r="I135" s="54"/>
      <c r="J135" s="13"/>
      <c r="K135" s="14"/>
    </row>
    <row r="136" spans="1:11" ht="15.75" customHeight="1">
      <c r="A136" s="2" t="s">
        <v>176</v>
      </c>
      <c r="B136" s="48" t="s">
        <v>48</v>
      </c>
      <c r="C136" s="3">
        <v>2.23</v>
      </c>
      <c r="D136" s="26">
        <f>4*71</f>
        <v>284</v>
      </c>
      <c r="E136" s="26">
        <f t="shared" si="4"/>
        <v>1966.759002770083</v>
      </c>
      <c r="F136" s="5">
        <f>AVERAGE(E136:E138)</f>
        <v>1495.8448753462606</v>
      </c>
      <c r="G136" s="49">
        <v>50</v>
      </c>
      <c r="H136" s="48">
        <v>9440</v>
      </c>
      <c r="I136" s="48">
        <v>13</v>
      </c>
      <c r="J136" s="13"/>
      <c r="K136" s="14"/>
    </row>
    <row r="137" spans="1:11" ht="15.75" customHeight="1">
      <c r="A137" s="8" t="s">
        <v>177</v>
      </c>
      <c r="B137" s="50" t="s">
        <v>48</v>
      </c>
      <c r="C137" s="9">
        <v>3.14</v>
      </c>
      <c r="D137" s="27">
        <f>4*80</f>
        <v>320</v>
      </c>
      <c r="E137" s="27">
        <f t="shared" si="4"/>
        <v>2216.06648199446</v>
      </c>
      <c r="F137" s="12"/>
      <c r="G137" s="51"/>
      <c r="H137" s="50"/>
      <c r="I137" s="50"/>
      <c r="J137" s="13"/>
      <c r="K137" s="14"/>
    </row>
    <row r="138" spans="1:11" ht="15.75" customHeight="1">
      <c r="A138" s="15" t="s">
        <v>178</v>
      </c>
      <c r="B138" s="52" t="s">
        <v>48</v>
      </c>
      <c r="C138" s="16">
        <v>4.18</v>
      </c>
      <c r="D138" s="28">
        <f>4*11</f>
        <v>44</v>
      </c>
      <c r="E138" s="28">
        <f t="shared" si="4"/>
        <v>304.70914127423822</v>
      </c>
      <c r="F138" s="18"/>
      <c r="G138" s="53"/>
      <c r="H138" s="54"/>
      <c r="I138" s="54"/>
      <c r="J138" s="13"/>
      <c r="K138" s="14"/>
    </row>
    <row r="139" spans="1:11" ht="15.75" customHeight="1">
      <c r="A139" s="2" t="s">
        <v>179</v>
      </c>
      <c r="B139" s="48" t="s">
        <v>48</v>
      </c>
      <c r="C139" s="3"/>
      <c r="D139" s="26">
        <f>4*1203</f>
        <v>4812</v>
      </c>
      <c r="E139" s="26">
        <f t="shared" si="4"/>
        <v>33324.09972299169</v>
      </c>
      <c r="F139" s="5">
        <f>AVERAGE(E139:E141)</f>
        <v>13185.595567867036</v>
      </c>
      <c r="G139" s="49">
        <v>50</v>
      </c>
      <c r="H139" s="48">
        <v>9440</v>
      </c>
      <c r="I139" s="48">
        <v>13</v>
      </c>
      <c r="J139" s="13"/>
      <c r="K139" s="14"/>
    </row>
    <row r="140" spans="1:11" ht="15.75" customHeight="1">
      <c r="A140" s="8" t="s">
        <v>180</v>
      </c>
      <c r="B140" s="50" t="s">
        <v>48</v>
      </c>
      <c r="C140" s="9">
        <v>4.6399999999999997</v>
      </c>
      <c r="D140" s="27">
        <f>4*113</f>
        <v>452</v>
      </c>
      <c r="E140" s="27">
        <f t="shared" si="4"/>
        <v>3130.1939058171747</v>
      </c>
      <c r="F140" s="12"/>
      <c r="G140" s="51"/>
      <c r="H140" s="50"/>
      <c r="I140" s="50"/>
      <c r="J140" s="13"/>
      <c r="K140" s="14"/>
    </row>
    <row r="141" spans="1:11" ht="15.75" customHeight="1">
      <c r="A141" s="15" t="s">
        <v>181</v>
      </c>
      <c r="B141" s="52" t="s">
        <v>48</v>
      </c>
      <c r="C141" s="16">
        <v>61.85</v>
      </c>
      <c r="D141" s="28">
        <f>4*112</f>
        <v>448</v>
      </c>
      <c r="E141" s="28">
        <f t="shared" si="4"/>
        <v>3102.4930747922435</v>
      </c>
      <c r="F141" s="18"/>
      <c r="G141" s="53"/>
      <c r="H141" s="54"/>
      <c r="I141" s="54"/>
      <c r="J141" s="13"/>
      <c r="K141" s="14"/>
    </row>
    <row r="142" spans="1:11" ht="15.75" customHeight="1">
      <c r="A142" s="2" t="s">
        <v>182</v>
      </c>
      <c r="B142" s="48" t="s">
        <v>86</v>
      </c>
      <c r="C142" s="3">
        <v>0</v>
      </c>
      <c r="D142" s="26">
        <f>4*11</f>
        <v>44</v>
      </c>
      <c r="E142" s="26"/>
      <c r="F142" s="5"/>
      <c r="G142" s="49"/>
      <c r="H142" s="48"/>
      <c r="I142" s="48">
        <v>25</v>
      </c>
      <c r="J142" s="19"/>
      <c r="K142" s="20"/>
    </row>
    <row r="143" spans="1:11" ht="15.75" customHeight="1">
      <c r="F143" s="35">
        <f>AVERAGE(E140:E141)</f>
        <v>3116.3434903047091</v>
      </c>
    </row>
    <row r="144" spans="1:11" ht="15.75" customHeight="1">
      <c r="F144" s="35">
        <f>AVERAGE(F100:F138,F143)</f>
        <v>846.19443345205116</v>
      </c>
    </row>
    <row r="145" spans="1:19" ht="15.75" customHeight="1">
      <c r="F145" s="36"/>
    </row>
    <row r="146" spans="1:19" ht="15.75" customHeight="1">
      <c r="F146" s="36"/>
    </row>
    <row r="147" spans="1:19" ht="15.75" customHeight="1">
      <c r="F147" s="36"/>
    </row>
    <row r="148" spans="1:19" ht="15.75" customHeight="1">
      <c r="F148" s="36"/>
    </row>
    <row r="149" spans="1:19" ht="15.75" customHeight="1">
      <c r="F149" s="36"/>
    </row>
    <row r="150" spans="1:19" ht="15.75" customHeight="1">
      <c r="F150" s="36"/>
    </row>
    <row r="151" spans="1:19" ht="15.75" customHeight="1">
      <c r="A151" s="37"/>
      <c r="B151" s="37"/>
      <c r="C151" s="37"/>
      <c r="D151" s="37"/>
      <c r="E151" s="37"/>
      <c r="F151" s="38"/>
      <c r="G151" s="37"/>
      <c r="H151" s="37"/>
      <c r="I151" s="37"/>
    </row>
    <row r="152" spans="1:19" ht="15.75" customHeight="1">
      <c r="A152" s="37"/>
      <c r="B152" s="37"/>
      <c r="C152" s="39"/>
      <c r="D152" s="40"/>
      <c r="E152" s="40"/>
      <c r="F152" s="41"/>
      <c r="G152" s="37"/>
      <c r="H152" s="37"/>
      <c r="I152" s="37"/>
    </row>
    <row r="153" spans="1:19" ht="15.75" customHeight="1">
      <c r="A153" s="37"/>
      <c r="B153" s="37"/>
      <c r="C153" s="39"/>
      <c r="D153" s="40"/>
      <c r="E153" s="40"/>
      <c r="F153" s="41"/>
      <c r="G153" s="37"/>
      <c r="H153" s="37"/>
      <c r="I153" s="37"/>
      <c r="K153" s="37"/>
      <c r="L153" s="37"/>
      <c r="M153" s="40"/>
      <c r="N153" s="40"/>
      <c r="O153" s="40"/>
      <c r="P153" s="40"/>
      <c r="Q153" s="37"/>
      <c r="R153" s="37"/>
      <c r="S153" s="37"/>
    </row>
    <row r="154" spans="1:19" ht="15.75" customHeight="1">
      <c r="A154" s="37"/>
      <c r="B154" s="37"/>
      <c r="C154" s="39"/>
      <c r="D154" s="40"/>
      <c r="E154" s="40"/>
      <c r="F154" s="41"/>
      <c r="G154" s="37"/>
      <c r="H154" s="37"/>
      <c r="I154" s="37"/>
      <c r="K154" s="37"/>
      <c r="L154" s="37"/>
      <c r="M154" s="40"/>
      <c r="N154" s="40"/>
      <c r="O154" s="40"/>
      <c r="P154" s="40"/>
      <c r="Q154" s="37"/>
      <c r="R154" s="37"/>
      <c r="S154" s="37"/>
    </row>
    <row r="155" spans="1:19" ht="15.75" customHeight="1">
      <c r="A155" s="37"/>
      <c r="B155" s="37"/>
      <c r="C155" s="39"/>
      <c r="D155" s="40"/>
      <c r="E155" s="40"/>
      <c r="F155" s="41"/>
      <c r="G155" s="37"/>
      <c r="H155" s="37"/>
      <c r="I155" s="37"/>
      <c r="K155" s="37"/>
      <c r="L155" s="37"/>
      <c r="M155" s="40"/>
      <c r="N155" s="40"/>
      <c r="O155" s="40"/>
      <c r="P155" s="40"/>
      <c r="Q155" s="37"/>
      <c r="R155" s="37"/>
      <c r="S155" s="37"/>
    </row>
    <row r="156" spans="1:19" ht="15.75" customHeight="1">
      <c r="A156" s="37"/>
      <c r="B156" s="37"/>
      <c r="C156" s="39"/>
      <c r="D156" s="40"/>
      <c r="E156" s="40"/>
      <c r="F156" s="41"/>
      <c r="G156" s="37"/>
      <c r="H156" s="37"/>
      <c r="I156" s="37"/>
      <c r="K156" s="37"/>
      <c r="L156" s="37"/>
      <c r="M156" s="40"/>
      <c r="N156" s="40"/>
      <c r="O156" s="40"/>
      <c r="P156" s="40"/>
      <c r="Q156" s="37"/>
      <c r="R156" s="37"/>
      <c r="S156" s="37"/>
    </row>
    <row r="157" spans="1:19" ht="15.75" customHeight="1">
      <c r="A157" s="37"/>
      <c r="B157" s="37"/>
      <c r="C157" s="39"/>
      <c r="D157" s="40"/>
      <c r="E157" s="40"/>
      <c r="F157" s="41"/>
      <c r="G157" s="37"/>
      <c r="H157" s="37"/>
      <c r="I157" s="37"/>
      <c r="K157" s="37"/>
      <c r="L157" s="37"/>
      <c r="M157" s="40"/>
      <c r="N157" s="40"/>
      <c r="O157" s="40"/>
      <c r="P157" s="40"/>
      <c r="Q157" s="37"/>
      <c r="R157" s="37"/>
      <c r="S157" s="37"/>
    </row>
    <row r="158" spans="1:19" ht="15.75" customHeight="1">
      <c r="A158" s="37"/>
      <c r="B158" s="37"/>
      <c r="C158" s="39"/>
      <c r="D158" s="40"/>
      <c r="E158" s="40"/>
      <c r="F158" s="41"/>
      <c r="G158" s="37"/>
      <c r="H158" s="37"/>
      <c r="I158" s="37"/>
      <c r="K158" s="37"/>
      <c r="L158" s="37"/>
      <c r="M158" s="40"/>
      <c r="N158" s="40"/>
      <c r="O158" s="40"/>
      <c r="P158" s="40"/>
      <c r="Q158" s="37"/>
      <c r="R158" s="37"/>
      <c r="S158" s="37"/>
    </row>
    <row r="159" spans="1:19" ht="15.75" customHeight="1">
      <c r="A159" s="37"/>
      <c r="B159" s="37"/>
      <c r="C159" s="39"/>
      <c r="D159" s="40"/>
      <c r="E159" s="40"/>
      <c r="F159" s="41"/>
      <c r="G159" s="37"/>
      <c r="H159" s="37"/>
      <c r="I159" s="37"/>
    </row>
    <row r="160" spans="1:19" ht="15.75" customHeight="1">
      <c r="A160" s="37"/>
      <c r="B160" s="37"/>
      <c r="C160" s="39"/>
      <c r="D160" s="40"/>
      <c r="E160" s="40"/>
      <c r="F160" s="41"/>
      <c r="G160" s="37"/>
      <c r="H160" s="37"/>
      <c r="I160" s="37"/>
    </row>
    <row r="161" spans="1:9" ht="15.75" customHeight="1">
      <c r="A161" s="37"/>
      <c r="B161" s="37"/>
      <c r="C161" s="39"/>
      <c r="D161" s="40"/>
      <c r="E161" s="40"/>
      <c r="F161" s="41"/>
      <c r="G161" s="37"/>
      <c r="H161" s="37"/>
      <c r="I161" s="37"/>
    </row>
    <row r="162" spans="1:9" ht="15.75" customHeight="1">
      <c r="A162" s="37"/>
      <c r="B162" s="37"/>
      <c r="C162" s="39"/>
      <c r="D162" s="40"/>
      <c r="E162" s="40"/>
      <c r="F162" s="41"/>
      <c r="G162" s="37"/>
      <c r="H162" s="37"/>
      <c r="I162" s="37"/>
    </row>
    <row r="163" spans="1:9" ht="15.75" customHeight="1">
      <c r="A163" s="37"/>
      <c r="B163" s="37"/>
      <c r="C163" s="39"/>
      <c r="D163" s="40"/>
      <c r="E163" s="40"/>
      <c r="F163" s="41"/>
      <c r="G163" s="37"/>
      <c r="H163" s="37"/>
      <c r="I163" s="37"/>
    </row>
    <row r="164" spans="1:9" ht="15.75" customHeight="1">
      <c r="A164" s="37"/>
      <c r="B164" s="37"/>
      <c r="C164" s="39"/>
      <c r="D164" s="40"/>
      <c r="E164" s="40"/>
      <c r="F164" s="41"/>
      <c r="G164" s="37"/>
      <c r="H164" s="37"/>
      <c r="I164" s="37"/>
    </row>
    <row r="165" spans="1:9" ht="15.75" customHeight="1">
      <c r="A165" s="37"/>
      <c r="B165" s="37"/>
      <c r="C165" s="39"/>
      <c r="D165" s="40"/>
      <c r="E165" s="40"/>
      <c r="F165" s="41"/>
      <c r="G165" s="37"/>
      <c r="H165" s="37"/>
      <c r="I165" s="37"/>
    </row>
    <row r="166" spans="1:9" ht="15.75" customHeight="1">
      <c r="A166" s="37"/>
      <c r="B166" s="37"/>
      <c r="C166" s="39"/>
      <c r="D166" s="40"/>
      <c r="E166" s="40"/>
      <c r="F166" s="41"/>
      <c r="G166" s="37"/>
      <c r="H166" s="37"/>
      <c r="I166" s="37"/>
    </row>
    <row r="167" spans="1:9" ht="15.75" customHeight="1">
      <c r="A167" s="37"/>
      <c r="B167" s="37"/>
      <c r="C167" s="39"/>
      <c r="D167" s="40"/>
      <c r="E167" s="40"/>
      <c r="F167" s="41"/>
      <c r="G167" s="37"/>
      <c r="H167" s="37"/>
      <c r="I167" s="37"/>
    </row>
    <row r="168" spans="1:9" ht="15.75" customHeight="1">
      <c r="A168" s="37"/>
      <c r="B168" s="37"/>
      <c r="C168" s="42"/>
      <c r="D168" s="43"/>
      <c r="E168" s="43"/>
      <c r="F168" s="41"/>
      <c r="G168" s="44"/>
      <c r="H168" s="44"/>
      <c r="I168" s="37"/>
    </row>
    <row r="169" spans="1:9" ht="15.75" customHeight="1">
      <c r="A169" s="37"/>
      <c r="B169" s="37"/>
      <c r="C169" s="39"/>
      <c r="D169" s="40"/>
      <c r="E169" s="40"/>
      <c r="F169" s="41"/>
      <c r="G169" s="37"/>
      <c r="H169" s="37"/>
      <c r="I169" s="37"/>
    </row>
    <row r="170" spans="1:9" ht="15.75" customHeight="1">
      <c r="A170" s="37"/>
      <c r="B170" s="37"/>
      <c r="C170" s="39"/>
      <c r="D170" s="40"/>
      <c r="E170" s="40"/>
      <c r="F170" s="41"/>
      <c r="G170" s="37"/>
      <c r="H170" s="37"/>
      <c r="I170" s="37"/>
    </row>
    <row r="171" spans="1:9" ht="15.75" customHeight="1">
      <c r="A171" s="37"/>
      <c r="B171" s="37"/>
      <c r="C171" s="42"/>
      <c r="D171" s="43"/>
      <c r="E171" s="43"/>
      <c r="F171" s="41"/>
      <c r="G171" s="44"/>
      <c r="H171" s="44"/>
      <c r="I171" s="37"/>
    </row>
    <row r="172" spans="1:9" ht="15.75" customHeight="1">
      <c r="A172" s="37"/>
      <c r="B172" s="37"/>
      <c r="C172" s="39"/>
      <c r="D172" s="40"/>
      <c r="E172" s="40"/>
      <c r="F172" s="41"/>
      <c r="G172" s="37"/>
      <c r="H172" s="37"/>
      <c r="I172" s="37"/>
    </row>
    <row r="173" spans="1:9" ht="15.75" customHeight="1">
      <c r="A173" s="37"/>
      <c r="B173" s="37"/>
      <c r="C173" s="39"/>
      <c r="D173" s="40"/>
      <c r="E173" s="40"/>
      <c r="F173" s="41"/>
      <c r="G173" s="37"/>
      <c r="H173" s="37"/>
      <c r="I173" s="37"/>
    </row>
    <row r="174" spans="1:9" ht="15.75" customHeight="1">
      <c r="A174" s="37"/>
      <c r="B174" s="37"/>
      <c r="C174" s="42"/>
      <c r="D174" s="43"/>
      <c r="E174" s="43"/>
      <c r="F174" s="41"/>
      <c r="G174" s="44"/>
      <c r="H174" s="44"/>
      <c r="I174" s="37"/>
    </row>
    <row r="175" spans="1:9" ht="15.75" customHeight="1">
      <c r="A175" s="37"/>
      <c r="B175" s="37"/>
      <c r="C175" s="39"/>
      <c r="D175" s="40"/>
      <c r="E175" s="40"/>
      <c r="F175" s="41"/>
      <c r="G175" s="37"/>
      <c r="H175" s="37"/>
      <c r="I175" s="37"/>
    </row>
    <row r="176" spans="1:9" ht="15.75" customHeight="1">
      <c r="A176" s="37"/>
      <c r="B176" s="37"/>
      <c r="C176" s="39"/>
      <c r="D176" s="40"/>
      <c r="E176" s="40"/>
      <c r="F176" s="41"/>
      <c r="G176" s="37"/>
      <c r="H176" s="37"/>
      <c r="I176" s="37"/>
    </row>
    <row r="177" spans="1:11" ht="15.75" customHeight="1">
      <c r="A177" s="37"/>
      <c r="B177" s="37"/>
      <c r="C177" s="42"/>
      <c r="D177" s="43"/>
      <c r="E177" s="43"/>
      <c r="F177" s="41"/>
      <c r="G177" s="44"/>
      <c r="H177" s="44"/>
      <c r="I177" s="37"/>
    </row>
    <row r="178" spans="1:11" ht="15.75" customHeight="1">
      <c r="A178" s="37"/>
      <c r="B178" s="37"/>
      <c r="C178" s="39"/>
      <c r="D178" s="40"/>
      <c r="E178" s="40"/>
      <c r="F178" s="41"/>
      <c r="G178" s="37"/>
      <c r="H178" s="37"/>
      <c r="I178" s="37"/>
    </row>
    <row r="179" spans="1:11" ht="15.75" customHeight="1">
      <c r="A179" s="37"/>
      <c r="B179" s="37"/>
      <c r="C179" s="39"/>
      <c r="D179" s="40"/>
      <c r="E179" s="40"/>
      <c r="F179" s="41"/>
      <c r="G179" s="37"/>
      <c r="H179" s="37"/>
      <c r="I179" s="37"/>
    </row>
    <row r="180" spans="1:11" ht="15.75" customHeight="1">
      <c r="A180" s="37"/>
      <c r="B180" s="37"/>
      <c r="C180" s="42"/>
      <c r="D180" s="43"/>
      <c r="E180" s="43"/>
      <c r="F180" s="41"/>
      <c r="G180" s="44"/>
      <c r="H180" s="44"/>
      <c r="I180" s="37"/>
    </row>
    <row r="181" spans="1:11" ht="15.75" customHeight="1">
      <c r="A181" s="37"/>
      <c r="B181" s="37"/>
      <c r="C181" s="39"/>
      <c r="D181" s="40"/>
      <c r="E181" s="40"/>
      <c r="F181" s="41"/>
      <c r="G181" s="37"/>
      <c r="H181" s="37"/>
      <c r="I181" s="37"/>
    </row>
    <row r="182" spans="1:11" ht="15.75" customHeight="1">
      <c r="A182" s="37"/>
      <c r="B182" s="37"/>
      <c r="C182" s="39"/>
      <c r="D182" s="40"/>
      <c r="E182" s="40"/>
      <c r="F182" s="41"/>
      <c r="G182" s="37"/>
      <c r="H182" s="37"/>
      <c r="I182" s="37"/>
    </row>
    <row r="183" spans="1:11" ht="15.75" customHeight="1">
      <c r="A183" s="37"/>
      <c r="B183" s="37"/>
      <c r="C183" s="42"/>
      <c r="D183" s="43"/>
      <c r="E183" s="43"/>
      <c r="F183" s="41"/>
      <c r="G183" s="44"/>
      <c r="H183" s="44"/>
      <c r="I183" s="37"/>
    </row>
    <row r="184" spans="1:11" ht="15.75" customHeight="1">
      <c r="A184" s="37"/>
      <c r="B184" s="37"/>
      <c r="C184" s="39"/>
      <c r="D184" s="40"/>
      <c r="E184" s="40"/>
      <c r="F184" s="41"/>
      <c r="G184" s="37"/>
      <c r="H184" s="37"/>
      <c r="I184" s="37"/>
    </row>
    <row r="185" spans="1:11" ht="15.75" customHeight="1">
      <c r="A185" s="37"/>
      <c r="B185" s="37"/>
      <c r="C185" s="39"/>
      <c r="D185" s="40"/>
      <c r="E185" s="40"/>
      <c r="F185" s="41"/>
      <c r="G185" s="37"/>
      <c r="H185" s="37"/>
      <c r="I185" s="37"/>
    </row>
    <row r="186" spans="1:11" ht="15.75" customHeight="1">
      <c r="A186" s="37"/>
      <c r="B186" s="37"/>
      <c r="C186" s="39"/>
      <c r="D186" s="40"/>
      <c r="E186" s="40"/>
      <c r="F186" s="41"/>
      <c r="G186" s="40"/>
      <c r="H186" s="40"/>
      <c r="I186" s="37"/>
      <c r="J186" s="37"/>
      <c r="K186" s="37"/>
    </row>
    <row r="187" spans="1:11" ht="15.75" customHeight="1">
      <c r="A187" s="37"/>
      <c r="B187" s="37"/>
      <c r="C187" s="39"/>
      <c r="D187" s="40"/>
      <c r="E187" s="40"/>
      <c r="F187" s="41"/>
      <c r="G187" s="40"/>
      <c r="H187" s="40"/>
      <c r="I187" s="37"/>
      <c r="J187" s="37"/>
      <c r="K187" s="37"/>
    </row>
    <row r="188" spans="1:11" ht="15.75" customHeight="1">
      <c r="A188" s="37"/>
      <c r="B188" s="37"/>
      <c r="C188" s="39"/>
      <c r="D188" s="40"/>
      <c r="E188" s="40"/>
      <c r="F188" s="41"/>
      <c r="G188" s="40"/>
      <c r="H188" s="40"/>
      <c r="I188" s="37"/>
      <c r="J188" s="37"/>
      <c r="K188" s="37"/>
    </row>
    <row r="189" spans="1:11" ht="15.75" customHeight="1">
      <c r="A189" s="37"/>
      <c r="B189" s="37"/>
      <c r="C189" s="39"/>
      <c r="D189" s="40"/>
      <c r="E189" s="40"/>
      <c r="F189" s="41"/>
      <c r="G189" s="40"/>
      <c r="H189" s="40"/>
      <c r="I189" s="37"/>
      <c r="J189" s="37"/>
      <c r="K189" s="37"/>
    </row>
    <row r="190" spans="1:11" ht="15.75" customHeight="1">
      <c r="A190" s="37"/>
      <c r="B190" s="37"/>
      <c r="C190" s="39"/>
      <c r="D190" s="40"/>
      <c r="E190" s="40"/>
      <c r="F190" s="41"/>
      <c r="G190" s="40"/>
      <c r="H190" s="40"/>
      <c r="I190" s="37"/>
      <c r="J190" s="37"/>
      <c r="K190" s="37"/>
    </row>
    <row r="191" spans="1:11" ht="15.75" customHeight="1">
      <c r="A191" s="37"/>
      <c r="B191" s="37"/>
      <c r="C191" s="39"/>
      <c r="D191" s="40"/>
      <c r="F191" s="41"/>
      <c r="G191" s="40"/>
      <c r="H191" s="40"/>
      <c r="I191" s="37"/>
      <c r="J191" s="37"/>
      <c r="K191" s="37"/>
    </row>
    <row r="192" spans="1:11" ht="15.75" customHeight="1">
      <c r="A192" s="37"/>
      <c r="B192" s="37"/>
      <c r="C192" s="39"/>
      <c r="D192" s="40"/>
      <c r="E192" s="40"/>
      <c r="F192" s="41"/>
      <c r="G192" s="40"/>
      <c r="H192" s="34"/>
      <c r="I192" s="37"/>
      <c r="J192" s="37"/>
      <c r="K192" s="37"/>
    </row>
    <row r="193" spans="1:11" ht="15.75" customHeight="1">
      <c r="A193" s="37"/>
      <c r="B193" s="37"/>
      <c r="C193" s="39"/>
      <c r="D193" s="40"/>
      <c r="E193" s="40"/>
      <c r="F193" s="41"/>
      <c r="G193" s="40"/>
      <c r="H193" s="40"/>
      <c r="I193" s="37"/>
      <c r="J193" s="37"/>
      <c r="K193" s="37"/>
    </row>
  </sheetData>
  <mergeCells count="1">
    <mergeCell ref="J1:K1"/>
  </mergeCells>
  <dataValidations count="1">
    <dataValidation type="list" allowBlank="1" showErrorMessage="1" sqref="B2:B142" xr:uid="{00000000-0002-0000-0100-000000000000}">
      <formula1>"Vei,Gjerde,fasade"</formula1>
    </dataValidation>
  </dataValidation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a53-2925-4abb-935f-8aef38cb7cec">
      <Terms xmlns="http://schemas.microsoft.com/office/infopath/2007/PartnerControls"/>
    </lcf76f155ced4ddcb4097134ff3c332f>
    <TaxCatchAll xmlns="4060dee7-0d27-43f6-b6a2-8e210c187b8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31F5EF14D3C46A25DF7BE346CE163" ma:contentTypeVersion="12" ma:contentTypeDescription="Create a new document." ma:contentTypeScope="" ma:versionID="5516d4950f11fc00375256d6a6f50b99">
  <xsd:schema xmlns:xsd="http://www.w3.org/2001/XMLSchema" xmlns:xs="http://www.w3.org/2001/XMLSchema" xmlns:p="http://schemas.microsoft.com/office/2006/metadata/properties" xmlns:ns2="9d226a53-2925-4abb-935f-8aef38cb7cec" xmlns:ns3="4060dee7-0d27-43f6-b6a2-8e210c187b83" targetNamespace="http://schemas.microsoft.com/office/2006/metadata/properties" ma:root="true" ma:fieldsID="ae568c0654ddc4599ebb7307f3fc931d" ns2:_="" ns3:_="">
    <xsd:import namespace="9d226a53-2925-4abb-935f-8aef38cb7cec"/>
    <xsd:import namespace="4060dee7-0d27-43f6-b6a2-8e210c187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a53-2925-4abb-935f-8aef38cb7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0dee7-0d27-43f6-b6a2-8e210c187b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5396e8-24d9-4d12-b81a-dd86ec907c0c}" ma:internalName="TaxCatchAll" ma:showField="CatchAllData" ma:web="4060dee7-0d27-43f6-b6a2-8e210c187b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57AB8-6F3E-4886-B13D-32FE6DC61D9F}"/>
</file>

<file path=customXml/itemProps2.xml><?xml version="1.0" encoding="utf-8"?>
<ds:datastoreItem xmlns:ds="http://schemas.openxmlformats.org/officeDocument/2006/customXml" ds:itemID="{BA3D9706-223F-4875-B9B6-C42C34C08269}"/>
</file>

<file path=customXml/itemProps3.xml><?xml version="1.0" encoding="utf-8"?>
<ds:datastoreItem xmlns:ds="http://schemas.openxmlformats.org/officeDocument/2006/customXml" ds:itemID="{0DE72F2D-93EE-423D-B62C-148889D03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Sunniva Ryland</dc:creator>
  <cp:keywords/>
  <dc:description/>
  <cp:lastModifiedBy>Lukas Valen-Utvik</cp:lastModifiedBy>
  <cp:revision/>
  <dcterms:created xsi:type="dcterms:W3CDTF">2026-06-19T09:12:35Z</dcterms:created>
  <dcterms:modified xsi:type="dcterms:W3CDTF">2026-07-31T08:05:46Z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0x010100F6A31F5EF14D3C46A25DF7BE346CE163</vt:lpwstr>
  </property>
  <property fmtid="{D5CDD505-2E9C-101B-9397-08002B2CF9AE}" pid="3" name="MediaServiceImageTags">
    <vt:lpwstr/>
  </property>
  <property fmtid="{D5CDD505-2E9C-101B-9397-08002B2CF9AE}" pid="4" name="Order">
    <vt:r8>3600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