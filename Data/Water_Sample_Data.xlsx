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https://studntnu.sharepoint.com/sites/o365_TeamWater20262/Shared Documents/General/Final Deliverables/Data/"/>
    </mc:Choice>
  </mc:AlternateContent>
  <xr:revisionPtr revIDLastSave="1" documentId="8_{3B030570-6D4E-490B-9729-53500D7390D6}" xr6:coauthVersionLast="47" xr6:coauthVersionMax="47" xr10:uidLastSave="{111E8A8C-A03E-445F-B591-C2EEC90FCF46}"/>
  <bookViews>
    <workbookView xWindow="-110" yWindow="-110" windowWidth="19420" windowHeight="11500" activeTab="1" xr2:uid="{60FCB4F1-E2E2-42DE-B856-AF7F15613A47}"/>
  </bookViews>
  <sheets>
    <sheet name="ReadMe" sheetId="2" r:id="rId1"/>
    <sheet name="Data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30" i="6" l="1"/>
  <c r="S177" i="6" l="1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H62" i="6" l="1"/>
  <c r="H61" i="6"/>
  <c r="S12" i="6"/>
  <c r="S13" i="6"/>
  <c r="S14" i="6"/>
  <c r="S15" i="6"/>
  <c r="S16" i="6"/>
  <c r="S17" i="6"/>
  <c r="S18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2" i="6"/>
  <c r="S53" i="6"/>
  <c r="S54" i="6"/>
  <c r="S55" i="6"/>
  <c r="S56" i="6"/>
  <c r="S57" i="6"/>
  <c r="S58" i="6"/>
  <c r="S59" i="6"/>
  <c r="S60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1" i="6"/>
  <c r="H155" i="6"/>
  <c r="H154" i="6"/>
  <c r="H153" i="6"/>
  <c r="H152" i="6"/>
  <c r="H151" i="6"/>
  <c r="H150" i="6"/>
  <c r="H149" i="6"/>
  <c r="H148" i="6"/>
  <c r="I148" i="6" s="1"/>
  <c r="H147" i="6"/>
  <c r="H146" i="6"/>
  <c r="H145" i="6"/>
  <c r="H144" i="6"/>
  <c r="I144" i="6" s="1"/>
  <c r="H143" i="6"/>
  <c r="H142" i="6"/>
  <c r="H141" i="6"/>
  <c r="H140" i="6"/>
  <c r="H139" i="6"/>
  <c r="H138" i="6"/>
  <c r="H137" i="6"/>
  <c r="H136" i="6"/>
  <c r="H135" i="6"/>
  <c r="H134" i="6"/>
  <c r="I134" i="6" s="1"/>
  <c r="H133" i="6"/>
  <c r="I133" i="6" s="1"/>
  <c r="H132" i="6"/>
  <c r="I132" i="6" s="1"/>
  <c r="H131" i="6"/>
  <c r="H130" i="6"/>
  <c r="H129" i="6"/>
  <c r="H128" i="6"/>
  <c r="H127" i="6"/>
  <c r="H126" i="6"/>
  <c r="H125" i="6"/>
  <c r="H124" i="6"/>
  <c r="H123" i="6"/>
  <c r="I123" i="6" s="1"/>
  <c r="H122" i="6"/>
  <c r="I122" i="6" s="1"/>
  <c r="H121" i="6"/>
  <c r="I121" i="6" s="1"/>
  <c r="H117" i="6"/>
  <c r="H116" i="6"/>
  <c r="H120" i="6"/>
  <c r="H119" i="6"/>
  <c r="H118" i="6"/>
  <c r="H115" i="6"/>
  <c r="H114" i="6"/>
  <c r="H113" i="6"/>
  <c r="H112" i="6"/>
  <c r="H105" i="6"/>
  <c r="I105" i="6" s="1"/>
  <c r="H104" i="6"/>
  <c r="I104" i="6" s="1"/>
  <c r="H102" i="6"/>
  <c r="I102" i="6" s="1"/>
  <c r="H101" i="6"/>
  <c r="H96" i="6"/>
  <c r="H95" i="6"/>
  <c r="H93" i="6"/>
  <c r="H92" i="6"/>
  <c r="H91" i="6"/>
  <c r="H89" i="6"/>
  <c r="H88" i="6"/>
  <c r="H87" i="6"/>
  <c r="H84" i="6"/>
  <c r="I84" i="6" s="1"/>
  <c r="H83" i="6"/>
  <c r="I83" i="6" s="1"/>
  <c r="H81" i="6"/>
  <c r="I81" i="6" s="1"/>
  <c r="H80" i="6"/>
  <c r="H79" i="6"/>
  <c r="H77" i="6"/>
  <c r="H75" i="6"/>
  <c r="H74" i="6"/>
  <c r="H73" i="6"/>
  <c r="H72" i="6"/>
  <c r="I72" i="6" s="1"/>
  <c r="H71" i="6"/>
  <c r="H68" i="6"/>
  <c r="H66" i="6"/>
  <c r="I66" i="6" s="1"/>
  <c r="H64" i="6"/>
  <c r="I64" i="6" s="1"/>
  <c r="H59" i="6"/>
  <c r="I59" i="6" s="1"/>
  <c r="H55" i="6"/>
  <c r="H54" i="6"/>
  <c r="H36" i="6"/>
  <c r="H32" i="6"/>
  <c r="H30" i="6"/>
  <c r="H27" i="6"/>
  <c r="H23" i="6"/>
  <c r="H26" i="6"/>
  <c r="H25" i="6"/>
  <c r="H24" i="6"/>
  <c r="I24" i="6" s="1"/>
  <c r="I23" i="6"/>
  <c r="I34" i="6"/>
  <c r="I97" i="6"/>
  <c r="C5" i="6"/>
  <c r="I48" i="6" s="1"/>
  <c r="I145" i="6" l="1"/>
  <c r="I146" i="6"/>
  <c r="I109" i="6"/>
  <c r="I108" i="6"/>
  <c r="I96" i="6"/>
  <c r="I25" i="6"/>
  <c r="I68" i="6"/>
  <c r="I87" i="6"/>
  <c r="I112" i="6"/>
  <c r="I124" i="6"/>
  <c r="I85" i="6"/>
  <c r="I26" i="6"/>
  <c r="I88" i="6"/>
  <c r="I113" i="6"/>
  <c r="I125" i="6"/>
  <c r="I136" i="6"/>
  <c r="I89" i="6"/>
  <c r="I126" i="6"/>
  <c r="I149" i="6"/>
  <c r="I11" i="6"/>
  <c r="I73" i="6"/>
  <c r="I27" i="6"/>
  <c r="I127" i="6"/>
  <c r="I150" i="6"/>
  <c r="I22" i="6"/>
  <c r="I74" i="6"/>
  <c r="I151" i="6"/>
  <c r="I58" i="6"/>
  <c r="I75" i="6"/>
  <c r="I47" i="6"/>
  <c r="I36" i="6"/>
  <c r="I46" i="6"/>
  <c r="I35" i="6"/>
  <c r="I18" i="6"/>
  <c r="I147" i="6"/>
  <c r="S21" i="6"/>
  <c r="I143" i="6"/>
  <c r="I107" i="6"/>
  <c r="I95" i="6"/>
  <c r="I71" i="6"/>
  <c r="I57" i="6"/>
  <c r="I45" i="6"/>
  <c r="I33" i="6"/>
  <c r="S20" i="6"/>
  <c r="I120" i="6"/>
  <c r="I106" i="6"/>
  <c r="I94" i="6"/>
  <c r="I82" i="6"/>
  <c r="I70" i="6"/>
  <c r="I56" i="6"/>
  <c r="I44" i="6"/>
  <c r="I32" i="6"/>
  <c r="I142" i="6"/>
  <c r="I135" i="6"/>
  <c r="S19" i="6"/>
  <c r="I119" i="6"/>
  <c r="I93" i="6"/>
  <c r="I69" i="6"/>
  <c r="I55" i="6"/>
  <c r="I43" i="6"/>
  <c r="I31" i="6"/>
  <c r="I141" i="6"/>
  <c r="I17" i="6"/>
  <c r="I131" i="6"/>
  <c r="I118" i="6"/>
  <c r="I92" i="6"/>
  <c r="I80" i="6"/>
  <c r="I54" i="6"/>
  <c r="I42" i="6"/>
  <c r="I30" i="6"/>
  <c r="I114" i="6"/>
  <c r="I140" i="6"/>
  <c r="I137" i="6"/>
  <c r="I16" i="6"/>
  <c r="I129" i="6"/>
  <c r="I117" i="6"/>
  <c r="I103" i="6"/>
  <c r="I91" i="6"/>
  <c r="I79" i="6"/>
  <c r="I67" i="6"/>
  <c r="I53" i="6"/>
  <c r="I41" i="6"/>
  <c r="I29" i="6"/>
  <c r="I115" i="6"/>
  <c r="I138" i="6"/>
  <c r="I15" i="6"/>
  <c r="I128" i="6"/>
  <c r="I116" i="6"/>
  <c r="I90" i="6"/>
  <c r="I78" i="6"/>
  <c r="I52" i="6"/>
  <c r="I40" i="6"/>
  <c r="I28" i="6"/>
  <c r="I139" i="6"/>
  <c r="I14" i="6"/>
  <c r="I101" i="6"/>
  <c r="I77" i="6"/>
  <c r="I65" i="6"/>
  <c r="S51" i="6"/>
  <c r="I39" i="6"/>
  <c r="I152" i="6"/>
  <c r="I13" i="6"/>
  <c r="I100" i="6"/>
  <c r="I76" i="6"/>
  <c r="I50" i="6"/>
  <c r="I38" i="6"/>
  <c r="I153" i="6"/>
  <c r="I61" i="6"/>
  <c r="S61" i="6" s="1"/>
  <c r="I12" i="6"/>
  <c r="I111" i="6"/>
  <c r="I99" i="6"/>
  <c r="I63" i="6"/>
  <c r="I49" i="6"/>
  <c r="I37" i="6"/>
  <c r="I130" i="6"/>
  <c r="I154" i="6"/>
  <c r="I62" i="6"/>
  <c r="S62" i="6" s="1"/>
  <c r="I155" i="6"/>
  <c r="I110" i="6"/>
  <c r="I98" i="6"/>
  <c r="I86" i="6"/>
  <c r="I60" i="6"/>
</calcChain>
</file>

<file path=xl/sharedStrings.xml><?xml version="1.0" encoding="utf-8"?>
<sst xmlns="http://schemas.openxmlformats.org/spreadsheetml/2006/main" count="1908" uniqueCount="559">
  <si>
    <t>Settings</t>
  </si>
  <si>
    <t>Ring radius (m)</t>
  </si>
  <si>
    <t>Measurement time (s)</t>
  </si>
  <si>
    <t>Ring surface area (m^2)</t>
  </si>
  <si>
    <t>Manual flow speed (m/s)</t>
  </si>
  <si>
    <t>Data</t>
  </si>
  <si>
    <t>Sample ID</t>
  </si>
  <si>
    <t>Collection Data</t>
  </si>
  <si>
    <t>Boolean remarks</t>
  </si>
  <si>
    <t>SIC Particle Count</t>
  </si>
  <si>
    <t>Estimated concentration (Particles/Cubic metre)</t>
  </si>
  <si>
    <t>Field ID</t>
  </si>
  <si>
    <t>Laboratory ID</t>
  </si>
  <si>
    <t>Date collected</t>
  </si>
  <si>
    <t>Time collected</t>
  </si>
  <si>
    <t>Collected at area</t>
  </si>
  <si>
    <t>Collected at Longitude</t>
  </si>
  <si>
    <t>Collected at Latitude</t>
  </si>
  <si>
    <t>Flow Speed (m/s)</t>
  </si>
  <si>
    <r>
      <t>Estimated Volume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</si>
  <si>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Field remarks</t>
  </si>
  <si>
    <t>Assumes flow?</t>
  </si>
  <si>
    <t>Low Volume?</t>
  </si>
  <si>
    <t>Major contamination?</t>
  </si>
  <si>
    <t>Bad image?</t>
  </si>
  <si>
    <t>Preperation error?</t>
  </si>
  <si>
    <t>Staining?</t>
  </si>
  <si>
    <t>Discard sample?</t>
  </si>
  <si>
    <t>ImageJ</t>
  </si>
  <si>
    <t>A0</t>
  </si>
  <si>
    <t>T0000</t>
  </si>
  <si>
    <t>Nidelva (Midtbyen)</t>
  </si>
  <si>
    <t>FALSE</t>
  </si>
  <si>
    <t>A1</t>
  </si>
  <si>
    <t>T0001</t>
  </si>
  <si>
    <t>A2</t>
  </si>
  <si>
    <t>T0002</t>
  </si>
  <si>
    <t>A3</t>
  </si>
  <si>
    <t>T0003</t>
  </si>
  <si>
    <t>A4</t>
  </si>
  <si>
    <t>T0004</t>
  </si>
  <si>
    <t>A5</t>
  </si>
  <si>
    <t>T0005</t>
  </si>
  <si>
    <t>A6</t>
  </si>
  <si>
    <t>T0006</t>
  </si>
  <si>
    <t>A7</t>
  </si>
  <si>
    <t>T0007</t>
  </si>
  <si>
    <t>A8</t>
  </si>
  <si>
    <t>T0008</t>
  </si>
  <si>
    <t>NULL</t>
  </si>
  <si>
    <t>TRUE</t>
  </si>
  <si>
    <t>A9</t>
  </si>
  <si>
    <t>T0009</t>
  </si>
  <si>
    <t>A10</t>
  </si>
  <si>
    <t>T0010</t>
  </si>
  <si>
    <t>A11</t>
  </si>
  <si>
    <t>T0011</t>
  </si>
  <si>
    <t>B0</t>
  </si>
  <si>
    <t xml:space="preserve">T0012 </t>
  </si>
  <si>
    <t>B1</t>
  </si>
  <si>
    <t xml:space="preserve">T0013 </t>
  </si>
  <si>
    <t>B2</t>
  </si>
  <si>
    <t xml:space="preserve">T0014 </t>
  </si>
  <si>
    <t>B3</t>
  </si>
  <si>
    <t xml:space="preserve">T0015 </t>
  </si>
  <si>
    <t>B4</t>
  </si>
  <si>
    <t xml:space="preserve">T0016 </t>
  </si>
  <si>
    <t>B5</t>
  </si>
  <si>
    <t xml:space="preserve">T0017 </t>
  </si>
  <si>
    <t>B6</t>
  </si>
  <si>
    <t xml:space="preserve">T0018 </t>
  </si>
  <si>
    <t>Under a bridge</t>
  </si>
  <si>
    <t>B7</t>
  </si>
  <si>
    <t xml:space="preserve">T0019 </t>
  </si>
  <si>
    <t>B8</t>
  </si>
  <si>
    <t xml:space="preserve">T0020 </t>
  </si>
  <si>
    <t>B9</t>
  </si>
  <si>
    <t xml:space="preserve">T0021 </t>
  </si>
  <si>
    <t>Sewage outlet</t>
  </si>
  <si>
    <t>B10</t>
  </si>
  <si>
    <t xml:space="preserve">T0022 </t>
  </si>
  <si>
    <t>Under the Lerkendal bridge</t>
  </si>
  <si>
    <t>B11</t>
  </si>
  <si>
    <t xml:space="preserve">T0023 </t>
  </si>
  <si>
    <t>B12</t>
  </si>
  <si>
    <t xml:space="preserve">T0024 </t>
  </si>
  <si>
    <t>B13</t>
  </si>
  <si>
    <t xml:space="preserve">T0025 </t>
  </si>
  <si>
    <t>Wooden boats</t>
  </si>
  <si>
    <t>B14</t>
  </si>
  <si>
    <t>T0026</t>
  </si>
  <si>
    <t>C01</t>
  </si>
  <si>
    <t>T0027</t>
  </si>
  <si>
    <t>Nidelva (Sluppen-Tiller)</t>
  </si>
  <si>
    <t>Artificial turf field</t>
  </si>
  <si>
    <t>C02</t>
  </si>
  <si>
    <t>T0028</t>
  </si>
  <si>
    <t>C03</t>
  </si>
  <si>
    <t>T0029</t>
  </si>
  <si>
    <t>Fishing place</t>
  </si>
  <si>
    <t>C04</t>
  </si>
  <si>
    <t>T0030</t>
  </si>
  <si>
    <t>Highway</t>
  </si>
  <si>
    <t>C05</t>
  </si>
  <si>
    <t>T0031</t>
  </si>
  <si>
    <t>C06</t>
  </si>
  <si>
    <t>T0032</t>
  </si>
  <si>
    <t>C07</t>
  </si>
  <si>
    <t>T0033</t>
  </si>
  <si>
    <t>C08</t>
  </si>
  <si>
    <t>T0034</t>
  </si>
  <si>
    <t>C09</t>
  </si>
  <si>
    <t>T0035</t>
  </si>
  <si>
    <t>C10</t>
  </si>
  <si>
    <t>T0036</t>
  </si>
  <si>
    <t>C11</t>
  </si>
  <si>
    <t>T0037</t>
  </si>
  <si>
    <t>C12</t>
  </si>
  <si>
    <t>T0038</t>
  </si>
  <si>
    <t>Sewage outlet + Power plant</t>
  </si>
  <si>
    <t>C13</t>
  </si>
  <si>
    <t>T0039</t>
  </si>
  <si>
    <t>Before dam</t>
  </si>
  <si>
    <t>C14</t>
  </si>
  <si>
    <t>T0040</t>
  </si>
  <si>
    <t>Sewage outlet,</t>
  </si>
  <si>
    <t>C15</t>
  </si>
  <si>
    <t>T0041</t>
  </si>
  <si>
    <t>D11</t>
  </si>
  <si>
    <t xml:space="preserve">T0042 </t>
  </si>
  <si>
    <t>After power plant</t>
  </si>
  <si>
    <t>D10</t>
  </si>
  <si>
    <t xml:space="preserve">T0043 </t>
  </si>
  <si>
    <t>After dam (filter?)</t>
  </si>
  <si>
    <t>D09</t>
  </si>
  <si>
    <t xml:space="preserve">T0044 </t>
  </si>
  <si>
    <t>Before dam (filter?)</t>
  </si>
  <si>
    <t>D08</t>
  </si>
  <si>
    <t xml:space="preserve">T0045 </t>
  </si>
  <si>
    <t>D07</t>
  </si>
  <si>
    <t xml:space="preserve">T0046 </t>
  </si>
  <si>
    <t>D06</t>
  </si>
  <si>
    <t xml:space="preserve">T0047 </t>
  </si>
  <si>
    <t>D05</t>
  </si>
  <si>
    <t xml:space="preserve">T0048 </t>
  </si>
  <si>
    <t>Difficult to test</t>
  </si>
  <si>
    <t>D04</t>
  </si>
  <si>
    <t xml:space="preserve">T0049 </t>
  </si>
  <si>
    <t>Near agriculture</t>
  </si>
  <si>
    <t>D03</t>
  </si>
  <si>
    <t xml:space="preserve">T0050 </t>
  </si>
  <si>
    <t>Half net</t>
  </si>
  <si>
    <t>D02</t>
  </si>
  <si>
    <t xml:space="preserve">T0051 </t>
  </si>
  <si>
    <t>Old sewage oultet (not in use)</t>
  </si>
  <si>
    <t>D01</t>
  </si>
  <si>
    <t xml:space="preserve">T0052 </t>
  </si>
  <si>
    <t>E01</t>
  </si>
  <si>
    <t>T0053</t>
  </si>
  <si>
    <t>07:58</t>
  </si>
  <si>
    <t>Nidelva (Tiller-Brøttem)</t>
  </si>
  <si>
    <t>E02</t>
  </si>
  <si>
    <t>T0054</t>
  </si>
  <si>
    <t>08:10</t>
  </si>
  <si>
    <t>E03</t>
  </si>
  <si>
    <t>T0055</t>
  </si>
  <si>
    <t>08:23</t>
  </si>
  <si>
    <t>E04</t>
  </si>
  <si>
    <t>T0056</t>
  </si>
  <si>
    <t>08:37</t>
  </si>
  <si>
    <t>E05</t>
  </si>
  <si>
    <t>T0057</t>
  </si>
  <si>
    <t>09:08</t>
  </si>
  <si>
    <t>E06</t>
  </si>
  <si>
    <t>T0058</t>
  </si>
  <si>
    <t>09:43</t>
  </si>
  <si>
    <t>E07</t>
  </si>
  <si>
    <t>T0059</t>
  </si>
  <si>
    <t>10:04</t>
  </si>
  <si>
    <t>E08</t>
  </si>
  <si>
    <t>T0060</t>
  </si>
  <si>
    <t>10:22</t>
  </si>
  <si>
    <t>E09</t>
  </si>
  <si>
    <t>T0061</t>
  </si>
  <si>
    <t>11:53</t>
  </si>
  <si>
    <t>E10</t>
  </si>
  <si>
    <t>T0062</t>
  </si>
  <si>
    <t>11:08</t>
  </si>
  <si>
    <t>E11</t>
  </si>
  <si>
    <t>T0063</t>
  </si>
  <si>
    <t>12:19</t>
  </si>
  <si>
    <t>E12</t>
  </si>
  <si>
    <t>T0064</t>
  </si>
  <si>
    <t>12:31</t>
  </si>
  <si>
    <t>E13</t>
  </si>
  <si>
    <t>T0065</t>
  </si>
  <si>
    <t>12:54</t>
  </si>
  <si>
    <t>F08</t>
  </si>
  <si>
    <t>T0066</t>
  </si>
  <si>
    <t>14:02</t>
  </si>
  <si>
    <t>F07</t>
  </si>
  <si>
    <t>T0067</t>
  </si>
  <si>
    <t>13:10</t>
  </si>
  <si>
    <t>F06</t>
  </si>
  <si>
    <t>T0068</t>
  </si>
  <si>
    <t>12:25</t>
  </si>
  <si>
    <t>F05</t>
  </si>
  <si>
    <t>T0069</t>
  </si>
  <si>
    <t>11:04</t>
  </si>
  <si>
    <t>F04</t>
  </si>
  <si>
    <t>T0070</t>
  </si>
  <si>
    <t>10:27</t>
  </si>
  <si>
    <t>F03</t>
  </si>
  <si>
    <t>T0071</t>
  </si>
  <si>
    <t>09:54</t>
  </si>
  <si>
    <t>F02</t>
  </si>
  <si>
    <t>T0072</t>
  </si>
  <si>
    <t>08:57</t>
  </si>
  <si>
    <t>F01</t>
  </si>
  <si>
    <t>T0073</t>
  </si>
  <si>
    <t>08:29</t>
  </si>
  <si>
    <t>G00</t>
  </si>
  <si>
    <t>T0074</t>
  </si>
  <si>
    <t>08:30</t>
  </si>
  <si>
    <t>G01</t>
  </si>
  <si>
    <t>T0075</t>
  </si>
  <si>
    <t>08:53</t>
  </si>
  <si>
    <t>G02</t>
  </si>
  <si>
    <t>T0076</t>
  </si>
  <si>
    <t>09:19</t>
  </si>
  <si>
    <t>G03</t>
  </si>
  <si>
    <t>T0077</t>
  </si>
  <si>
    <t>10:06</t>
  </si>
  <si>
    <t>G04</t>
  </si>
  <si>
    <t>T0078</t>
  </si>
  <si>
    <t>G05</t>
  </si>
  <si>
    <t>T0079</t>
  </si>
  <si>
    <t>11:31</t>
  </si>
  <si>
    <t>G06</t>
  </si>
  <si>
    <t>T0080</t>
  </si>
  <si>
    <t>12:08</t>
  </si>
  <si>
    <t>G07</t>
  </si>
  <si>
    <t>T0081</t>
  </si>
  <si>
    <t>12:22</t>
  </si>
  <si>
    <t>G08</t>
  </si>
  <si>
    <t>T0082</t>
  </si>
  <si>
    <t>12:47</t>
  </si>
  <si>
    <t>G09</t>
  </si>
  <si>
    <t>T0083</t>
  </si>
  <si>
    <t>13:06</t>
  </si>
  <si>
    <t>G10</t>
  </si>
  <si>
    <t>T0084</t>
  </si>
  <si>
    <t>13:42</t>
  </si>
  <si>
    <t>G11</t>
  </si>
  <si>
    <t>T0085</t>
  </si>
  <si>
    <t>14:04</t>
  </si>
  <si>
    <t>G12</t>
  </si>
  <si>
    <t>T0086</t>
  </si>
  <si>
    <t>14:27</t>
  </si>
  <si>
    <t>G13</t>
  </si>
  <si>
    <t>T0087</t>
  </si>
  <si>
    <t>13:53</t>
  </si>
  <si>
    <t>G14</t>
  </si>
  <si>
    <t>T0088</t>
  </si>
  <si>
    <t>13:28</t>
  </si>
  <si>
    <t>H00</t>
  </si>
  <si>
    <t>T0089</t>
  </si>
  <si>
    <t>07:52</t>
  </si>
  <si>
    <t>Jonsvatnet</t>
  </si>
  <si>
    <t>H01</t>
  </si>
  <si>
    <t>T0090</t>
  </si>
  <si>
    <t>08:14</t>
  </si>
  <si>
    <t>H02</t>
  </si>
  <si>
    <t>T0091</t>
  </si>
  <si>
    <t>08:24</t>
  </si>
  <si>
    <t>H03</t>
  </si>
  <si>
    <t>T0092</t>
  </si>
  <si>
    <t>08:40</t>
  </si>
  <si>
    <t>H04</t>
  </si>
  <si>
    <t>T0093</t>
  </si>
  <si>
    <t>09:09</t>
  </si>
  <si>
    <t>H05</t>
  </si>
  <si>
    <t>T0094</t>
  </si>
  <si>
    <t>09:25</t>
  </si>
  <si>
    <t>H06</t>
  </si>
  <si>
    <t>T0095</t>
  </si>
  <si>
    <t>09:39</t>
  </si>
  <si>
    <t>H07</t>
  </si>
  <si>
    <t>T0096</t>
  </si>
  <si>
    <t>09:57</t>
  </si>
  <si>
    <t>H08</t>
  </si>
  <si>
    <t>T0097</t>
  </si>
  <si>
    <t>10:13</t>
  </si>
  <si>
    <t>H09</t>
  </si>
  <si>
    <t>T0098</t>
  </si>
  <si>
    <t>10:31</t>
  </si>
  <si>
    <t>H10</t>
  </si>
  <si>
    <t>T0099</t>
  </si>
  <si>
    <t>10:51</t>
  </si>
  <si>
    <t>I08</t>
  </si>
  <si>
    <t>T0100</t>
  </si>
  <si>
    <t>10:52</t>
  </si>
  <si>
    <t>I07</t>
  </si>
  <si>
    <t>T0101</t>
  </si>
  <si>
    <t>10:35</t>
  </si>
  <si>
    <t>I06</t>
  </si>
  <si>
    <t>T0102</t>
  </si>
  <si>
    <t>10:12</t>
  </si>
  <si>
    <t>I05</t>
  </si>
  <si>
    <t>T0103</t>
  </si>
  <si>
    <t>09:50</t>
  </si>
  <si>
    <t>I04</t>
  </si>
  <si>
    <t>T0104</t>
  </si>
  <si>
    <t>H11</t>
  </si>
  <si>
    <t>T0105</t>
  </si>
  <si>
    <t>11:33</t>
  </si>
  <si>
    <t>I03</t>
  </si>
  <si>
    <t>T0106</t>
  </si>
  <si>
    <t>08:54</t>
  </si>
  <si>
    <t>I02</t>
  </si>
  <si>
    <t>T0107</t>
  </si>
  <si>
    <t>I01</t>
  </si>
  <si>
    <t>T0108</t>
  </si>
  <si>
    <t>07:55</t>
  </si>
  <si>
    <t>J01</t>
  </si>
  <si>
    <t>T0109</t>
  </si>
  <si>
    <t>07:15</t>
  </si>
  <si>
    <t>Havn</t>
  </si>
  <si>
    <t>J02</t>
  </si>
  <si>
    <t>T0110</t>
  </si>
  <si>
    <t>07:35</t>
  </si>
  <si>
    <t>J03</t>
  </si>
  <si>
    <t>T0111</t>
  </si>
  <si>
    <t>07:45</t>
  </si>
  <si>
    <t>J04</t>
  </si>
  <si>
    <t>T0112</t>
  </si>
  <si>
    <t>07:56</t>
  </si>
  <si>
    <t>J05</t>
  </si>
  <si>
    <t>T0113</t>
  </si>
  <si>
    <t>08:27</t>
  </si>
  <si>
    <t>J06</t>
  </si>
  <si>
    <t>T0114</t>
  </si>
  <si>
    <t>08:42</t>
  </si>
  <si>
    <t>J07</t>
  </si>
  <si>
    <t>T0115</t>
  </si>
  <si>
    <t>08:58</t>
  </si>
  <si>
    <t>J08</t>
  </si>
  <si>
    <t>T0116</t>
  </si>
  <si>
    <t>09:11</t>
  </si>
  <si>
    <t>J09</t>
  </si>
  <si>
    <t>T0117</t>
  </si>
  <si>
    <t>09:24</t>
  </si>
  <si>
    <t>J10</t>
  </si>
  <si>
    <t>T0118</t>
  </si>
  <si>
    <t>10:26</t>
  </si>
  <si>
    <t>J11</t>
  </si>
  <si>
    <t>T0119</t>
  </si>
  <si>
    <t>10:38</t>
  </si>
  <si>
    <t>Badeplass (Havet)</t>
  </si>
  <si>
    <t>J12</t>
  </si>
  <si>
    <t>T0120</t>
  </si>
  <si>
    <t>Badeplass (Ladestien)</t>
  </si>
  <si>
    <t>J13</t>
  </si>
  <si>
    <t>T0121</t>
  </si>
  <si>
    <t>11:13</t>
  </si>
  <si>
    <t>J14</t>
  </si>
  <si>
    <t>T0122</t>
  </si>
  <si>
    <t>11:27</t>
  </si>
  <si>
    <t>J15</t>
  </si>
  <si>
    <t>T0123</t>
  </si>
  <si>
    <t>06:14</t>
  </si>
  <si>
    <t>K01</t>
  </si>
  <si>
    <t>T0124</t>
  </si>
  <si>
    <t>07:07</t>
  </si>
  <si>
    <t>Badeplass (Haukvatnet)</t>
  </si>
  <si>
    <t>K02</t>
  </si>
  <si>
    <t>T0125</t>
  </si>
  <si>
    <t>07:22</t>
  </si>
  <si>
    <t>K03</t>
  </si>
  <si>
    <t>T0126</t>
  </si>
  <si>
    <t>07:36</t>
  </si>
  <si>
    <t>K04</t>
  </si>
  <si>
    <t>T0127</t>
  </si>
  <si>
    <t>08:08</t>
  </si>
  <si>
    <t>Badeplass (Lianvatnet)</t>
  </si>
  <si>
    <t>K05</t>
  </si>
  <si>
    <t>T0128</t>
  </si>
  <si>
    <t>08:18</t>
  </si>
  <si>
    <t>|</t>
  </si>
  <si>
    <t>T0129</t>
  </si>
  <si>
    <t>08:45</t>
  </si>
  <si>
    <t>K07</t>
  </si>
  <si>
    <t>T0130</t>
  </si>
  <si>
    <t>09:06</t>
  </si>
  <si>
    <t>Badeplass (Kyvatnet)</t>
  </si>
  <si>
    <t>K08</t>
  </si>
  <si>
    <t>T0131</t>
  </si>
  <si>
    <t>K09</t>
  </si>
  <si>
    <t>T0132</t>
  </si>
  <si>
    <t>09:38</t>
  </si>
  <si>
    <t>K10</t>
  </si>
  <si>
    <t>T0133</t>
  </si>
  <si>
    <t>Badeplass (Baklidammen)</t>
  </si>
  <si>
    <t>K11</t>
  </si>
  <si>
    <t>T0134</t>
  </si>
  <si>
    <t>10:33</t>
  </si>
  <si>
    <t>Fiskeplass (Blomstertjønna)</t>
  </si>
  <si>
    <t>K12</t>
  </si>
  <si>
    <t>T0135</t>
  </si>
  <si>
    <t>10:49</t>
  </si>
  <si>
    <t>L01</t>
  </si>
  <si>
    <t>T0136</t>
  </si>
  <si>
    <t>Badeplass (Theisendammen)</t>
  </si>
  <si>
    <t>L02</t>
  </si>
  <si>
    <t>T0137</t>
  </si>
  <si>
    <t>L03</t>
  </si>
  <si>
    <t>T0138</t>
  </si>
  <si>
    <t>L04</t>
  </si>
  <si>
    <t>T0139</t>
  </si>
  <si>
    <t>L05</t>
  </si>
  <si>
    <t>T0140</t>
  </si>
  <si>
    <t>M01</t>
  </si>
  <si>
    <t>T0141</t>
  </si>
  <si>
    <t>09:26</t>
  </si>
  <si>
    <t>M02</t>
  </si>
  <si>
    <t>T0142</t>
  </si>
  <si>
    <t>M03</t>
  </si>
  <si>
    <t>T0143</t>
  </si>
  <si>
    <t>09:59</t>
  </si>
  <si>
    <t>M04</t>
  </si>
  <si>
    <t>T0144</t>
  </si>
  <si>
    <t>10:23</t>
  </si>
  <si>
    <t>N01</t>
  </si>
  <si>
    <t>T0145</t>
  </si>
  <si>
    <t>Labvask (2etg. Realfagsbygget)</t>
  </si>
  <si>
    <t>-</t>
  </si>
  <si>
    <t>N02</t>
  </si>
  <si>
    <t>T0146</t>
  </si>
  <si>
    <t>N03</t>
  </si>
  <si>
    <t>T0147</t>
  </si>
  <si>
    <t>Drikkefontene (1etg. Realfagsbygget, /m bøtte)</t>
  </si>
  <si>
    <t>Plastic bucket</t>
  </si>
  <si>
    <t>N04</t>
  </si>
  <si>
    <t>T0148</t>
  </si>
  <si>
    <t>N05</t>
  </si>
  <si>
    <t>T0149</t>
  </si>
  <si>
    <t>Gruva (vask 1etg. utenfor doene)</t>
  </si>
  <si>
    <t>N06</t>
  </si>
  <si>
    <t>T0150</t>
  </si>
  <si>
    <t>Gruva (vask 1etg. Kjøkken)</t>
  </si>
  <si>
    <t>N07</t>
  </si>
  <si>
    <t>T0151</t>
  </si>
  <si>
    <t>Gruva (dusj 2etg.)</t>
  </si>
  <si>
    <t>N08</t>
  </si>
  <si>
    <t>T0152</t>
  </si>
  <si>
    <t>Drikkefontene (1etg. Realfagsbygget, /u bøtte)</t>
  </si>
  <si>
    <t>NY01</t>
  </si>
  <si>
    <t>NY02</t>
  </si>
  <si>
    <t>2x bruk</t>
  </si>
  <si>
    <t>NY03</t>
  </si>
  <si>
    <t>3x bruk</t>
  </si>
  <si>
    <t>NY04</t>
  </si>
  <si>
    <t>4x bruk</t>
  </si>
  <si>
    <t>NY05</t>
  </si>
  <si>
    <t>5x bruk</t>
  </si>
  <si>
    <t>NY06</t>
  </si>
  <si>
    <t>6x bruk</t>
  </si>
  <si>
    <t>NY07</t>
  </si>
  <si>
    <t>7x bruk</t>
  </si>
  <si>
    <t>NY08</t>
  </si>
  <si>
    <t>8x bruk</t>
  </si>
  <si>
    <t>NY09</t>
  </si>
  <si>
    <t>9x bruk</t>
  </si>
  <si>
    <t>NY10</t>
  </si>
  <si>
    <t>10x bruk</t>
  </si>
  <si>
    <t>Blank 1 (2)</t>
  </si>
  <si>
    <t>Blank 2 (1)</t>
  </si>
  <si>
    <t xml:space="preserve">Blank 3 </t>
  </si>
  <si>
    <t xml:space="preserve">Blank 5 </t>
  </si>
  <si>
    <t>Sirkplast 2026 - Team water</t>
  </si>
  <si>
    <t>Introduction</t>
  </si>
  <si>
    <t>This excel sheet contains the raw data as collected by team water during the Sirk Plast 2026 project.</t>
  </si>
  <si>
    <t>It includes all samples taken both in the field, as well as blanks, collated into one table.</t>
  </si>
  <si>
    <t>The following explanations assume prior knowledge of the experimental procedure,</t>
  </si>
  <si>
    <t>for full details on the experiment, consult the written protocol: &lt;insert link&gt;</t>
  </si>
  <si>
    <t>Explanation of settings</t>
  </si>
  <si>
    <t>Ring radius is the radius of the plankton nets that were used in the experiment, and the value is used to calculate filtered volume.</t>
  </si>
  <si>
    <t>Measurement time is the time in seconds that the nets were submerged in water, and the value is used to calculate filtered volume.</t>
  </si>
  <si>
    <t xml:space="preserve">Ring surface area </t>
  </si>
  <si>
    <t>Ring surface area is what the name suggests, and is derived from ring radius, and is used to calculate filtered volume.</t>
  </si>
  <si>
    <t>Manual flow speed is the assumed flow speed where no water flow was observed and manual movement was neccesary, used in samples marked with the boolean "Assumes flow?".</t>
  </si>
  <si>
    <t>Table columns</t>
  </si>
  <si>
    <t>The sample ID used in the field.</t>
  </si>
  <si>
    <t>The sample ID used in the laboratory and for all subsequent analysis.</t>
  </si>
  <si>
    <t>Date Collected</t>
  </si>
  <si>
    <t>The date the sample was collected in DD.MM.YYYY.</t>
  </si>
  <si>
    <t>Time Collected</t>
  </si>
  <si>
    <t>The time the sample was collected in HH:MM.</t>
  </si>
  <si>
    <t>The name of the area the sample was collected in.</t>
  </si>
  <si>
    <t>Collected at longitude</t>
  </si>
  <si>
    <t>The decimal-longitude (WGS84) of where the sample was collected.</t>
  </si>
  <si>
    <t>Collected at latitude</t>
  </si>
  <si>
    <t>The decimal-latitude (WGS84) of the where the sample was collected.</t>
  </si>
  <si>
    <t>Flow speed (m/s)</t>
  </si>
  <si>
    <t>The measured (or assumed) flow speed of the water where the sample was collected, used to calculate filtered volume.</t>
  </si>
  <si>
    <t>Estimated volume (m^3)</t>
  </si>
  <si>
    <t>The estimated filtered volume, as a function of flow speed, measurement time, and the ring radius.</t>
  </si>
  <si>
    <t>Any pertinent remarks about the location the sample was collected at.</t>
  </si>
  <si>
    <t>Boolean (TRUE/FALSE) statements about various sample properties.</t>
  </si>
  <si>
    <t>Intended to make computer analysis easier and to human improve legibility.</t>
  </si>
  <si>
    <t>If true: No water flow at collection site, flow rate is given as the approximate rate of "manual filtering".</t>
  </si>
  <si>
    <t>Low volume?</t>
  </si>
  <si>
    <t>If true: No water flow at collection site, "manual filtering" was not performed at all.</t>
  </si>
  <si>
    <t>Major Contamination?</t>
  </si>
  <si>
    <t>If true: Major organic contamination after processing and nile red staining, leading to significant amount of false positives.</t>
  </si>
  <si>
    <t>Bad Image?</t>
  </si>
  <si>
    <t>If true: Image quality bad as to make analysis difficult/impossible.</t>
  </si>
  <si>
    <t>Preparation error?</t>
  </si>
  <si>
    <t>If true: Error in preparation as to render analysis difficult/impossible.</t>
  </si>
  <si>
    <t>If true: Observed significant amount of nile-red staining on filter paper itself, affecting particle count.</t>
  </si>
  <si>
    <t>If true: One or more of the above conditions deemed enough to invalidate the sample for analysis.</t>
  </si>
  <si>
    <t>Counts and Estimates</t>
  </si>
  <si>
    <t>Count:</t>
  </si>
  <si>
    <t>The particle count of the prepared nile-red stained SIC images as given by ImageJ (*see below for more info)</t>
  </si>
  <si>
    <t>Estimate:</t>
  </si>
  <si>
    <r>
      <t xml:space="preserve">The ImageJ particle count divided by estimated volume as to give particles per cubic metre. In practice: </t>
    </r>
    <r>
      <rPr>
        <b/>
        <i/>
        <sz val="11"/>
        <color theme="1"/>
        <rFont val="Calibri"/>
        <family val="2"/>
        <scheme val="minor"/>
      </rPr>
      <t>The final result.</t>
    </r>
  </si>
  <si>
    <t>Computer analysis</t>
  </si>
  <si>
    <t>The data is formatted in such a manner as to be easily computer readable, with row 10 and onwards formatted in .csv fashion.</t>
  </si>
  <si>
    <r>
      <t>To export the data set as a csv, simply copy over the table (</t>
    </r>
    <r>
      <rPr>
        <b/>
        <sz val="11"/>
        <color theme="1"/>
        <rFont val="Calibri"/>
        <family val="2"/>
        <scheme val="minor"/>
      </rPr>
      <t>use value copy!</t>
    </r>
    <r>
      <rPr>
        <sz val="11"/>
        <color theme="1"/>
        <rFont val="Calibri"/>
        <family val="2"/>
        <scheme val="minor"/>
      </rPr>
      <t>) and delete the first 9 rows, and use excel's standard export to .csv function.</t>
    </r>
  </si>
  <si>
    <t>Scripts</t>
  </si>
  <si>
    <t>Python script</t>
  </si>
  <si>
    <t>Provided as a supplement to the data set is a python script for formatting new .csv-files out of this data sheet.</t>
  </si>
  <si>
    <t>This script allows sorting by area, or filtering by any of the boolean values (e.g. organic contamination) specified.</t>
  </si>
  <si>
    <t>Documentation of the script is provided as comments within the script file.</t>
  </si>
  <si>
    <t>ImageJ (FIJI) macro</t>
  </si>
  <si>
    <t>The macro used for isolation of the particles in FIJI/ImageJ is provided as a supplement to the data sheet.</t>
  </si>
  <si>
    <t>The macro was used for deriving the particle counts under the "ImageJ" column.</t>
  </si>
  <si>
    <t>R script</t>
  </si>
  <si>
    <t>The script used for statistical modelling of the data is provided as a supplement to the data sheet.</t>
  </si>
  <si>
    <t>T0153</t>
  </si>
  <si>
    <t>1x bruk (ubrukt nett)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</si>
  <si>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</si>
  <si>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</si>
  <si>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</si>
  <si>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</si>
  <si>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</si>
  <si>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</si>
  <si>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</si>
  <si>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</si>
  <si>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</si>
  <si>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</si>
  <si>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~12x bruk</t>
  </si>
  <si>
    <t>T0164</t>
  </si>
  <si>
    <t>~24x bruk</t>
  </si>
  <si>
    <t>T0165</t>
  </si>
  <si>
    <t>~50x bruk</t>
  </si>
  <si>
    <t>T0166</t>
  </si>
  <si>
    <t>ImageJ-Count</t>
  </si>
  <si>
    <t>ImageJ-Concentration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</si>
</sst>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66" formatCode="0.000000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 style="dashed">
        <color auto="1"/>
      </bottom>
      <diagonal/>
    </border>
    <border>
      <left/>
      <right/>
      <top style="thin">
        <color indexed="64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dashed">
        <color auto="1"/>
      </bottom>
      <diagonal/>
    </border>
    <border>
      <left style="thin">
        <color indexed="64"/>
      </left>
      <right/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indexed="64"/>
      </bottom>
      <diagonal/>
    </border>
    <border>
      <left/>
      <right style="thin">
        <color indexed="64"/>
      </right>
      <top style="dashed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dashed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/>
      <bottom style="dashed">
        <color auto="1"/>
      </bottom>
      <diagonal/>
    </border>
    <border>
      <left/>
      <right style="thin">
        <color indexed="64"/>
      </right>
      <top/>
      <bottom style="dashed">
        <color auto="1"/>
      </bottom>
      <diagonal/>
    </border>
    <border>
      <left/>
      <right/>
      <top style="dashed">
        <color auto="1"/>
      </top>
      <bottom style="medium">
        <color indexed="64"/>
      </bottom>
      <diagonal/>
    </border>
    <border>
      <left/>
      <right style="thin">
        <color indexed="64"/>
      </right>
      <top style="dashed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auto="1"/>
      </bottom>
      <diagonal/>
    </border>
    <border>
      <left style="thin">
        <color indexed="64"/>
      </left>
      <right/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  <xf numFmtId="166" fontId="0" fillId="4" borderId="0" xfId="0" applyNumberFormat="1" applyFill="1"/>
    <xf numFmtId="0" fontId="0" fillId="7" borderId="0" xfId="0" applyFill="1"/>
    <xf numFmtId="0" fontId="0" fillId="10" borderId="0" xfId="0" applyFill="1"/>
    <xf numFmtId="0" fontId="0" fillId="6" borderId="0" xfId="0" applyFill="1"/>
    <xf numFmtId="0" fontId="0" fillId="11" borderId="0" xfId="0" applyFill="1"/>
    <xf numFmtId="0" fontId="0" fillId="14" borderId="0" xfId="0" applyFill="1"/>
    <xf numFmtId="0" fontId="3" fillId="14" borderId="0" xfId="0" applyFont="1" applyFill="1"/>
    <xf numFmtId="0" fontId="4" fillId="5" borderId="0" xfId="0" applyFont="1" applyFill="1"/>
    <xf numFmtId="2" fontId="0" fillId="2" borderId="0" xfId="0" applyNumberFormat="1" applyFill="1"/>
    <xf numFmtId="0" fontId="0" fillId="4" borderId="2" xfId="0" applyFill="1" applyBorder="1"/>
    <xf numFmtId="14" fontId="0" fillId="4" borderId="2" xfId="0" applyNumberFormat="1" applyFill="1" applyBorder="1"/>
    <xf numFmtId="20" fontId="0" fillId="4" borderId="2" xfId="0" applyNumberFormat="1" applyFill="1" applyBorder="1"/>
    <xf numFmtId="0" fontId="1" fillId="4" borderId="2" xfId="0" applyFont="1" applyFill="1" applyBorder="1"/>
    <xf numFmtId="164" fontId="0" fillId="4" borderId="2" xfId="0" applyNumberFormat="1" applyFill="1" applyBorder="1"/>
    <xf numFmtId="165" fontId="0" fillId="4" borderId="2" xfId="0" applyNumberFormat="1" applyFill="1" applyBorder="1"/>
    <xf numFmtId="0" fontId="0" fillId="4" borderId="2" xfId="0" applyFill="1" applyBorder="1" applyAlignment="1">
      <alignment horizontal="right"/>
    </xf>
    <xf numFmtId="20" fontId="0" fillId="4" borderId="2" xfId="0" applyNumberFormat="1" applyFill="1" applyBorder="1" applyAlignment="1">
      <alignment horizontal="right"/>
    </xf>
    <xf numFmtId="0" fontId="0" fillId="4" borderId="3" xfId="0" applyFill="1" applyBorder="1"/>
    <xf numFmtId="0" fontId="0" fillId="4" borderId="4" xfId="0" applyFill="1" applyBorder="1"/>
    <xf numFmtId="14" fontId="0" fillId="4" borderId="4" xfId="0" applyNumberFormat="1" applyFill="1" applyBorder="1"/>
    <xf numFmtId="20" fontId="0" fillId="4" borderId="4" xfId="0" applyNumberFormat="1" applyFill="1" applyBorder="1"/>
    <xf numFmtId="164" fontId="0" fillId="4" borderId="4" xfId="0" applyNumberFormat="1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8" xfId="0" applyFill="1" applyBorder="1" applyAlignment="1">
      <alignment horizontal="right"/>
    </xf>
    <xf numFmtId="0" fontId="0" fillId="4" borderId="9" xfId="0" applyFill="1" applyBorder="1"/>
    <xf numFmtId="0" fontId="0" fillId="5" borderId="1" xfId="0" applyFill="1" applyBorder="1"/>
    <xf numFmtId="0" fontId="0" fillId="6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3" xfId="0" applyBorder="1"/>
    <xf numFmtId="0" fontId="0" fillId="0" borderId="11" xfId="0" applyBorder="1"/>
    <xf numFmtId="0" fontId="0" fillId="0" borderId="12" xfId="0" applyBorder="1"/>
    <xf numFmtId="0" fontId="2" fillId="5" borderId="0" xfId="0" applyFont="1" applyFill="1"/>
    <xf numFmtId="0" fontId="6" fillId="0" borderId="0" xfId="0" applyFont="1"/>
    <xf numFmtId="0" fontId="0" fillId="8" borderId="0" xfId="0" applyFill="1"/>
    <xf numFmtId="0" fontId="0" fillId="15" borderId="0" xfId="0" applyFill="1"/>
    <xf numFmtId="0" fontId="0" fillId="4" borderId="14" xfId="0" applyFill="1" applyBorder="1"/>
    <xf numFmtId="0" fontId="0" fillId="4" borderId="15" xfId="0" applyFill="1" applyBorder="1"/>
    <xf numFmtId="14" fontId="0" fillId="4" borderId="14" xfId="0" applyNumberFormat="1" applyFill="1" applyBorder="1"/>
    <xf numFmtId="20" fontId="0" fillId="4" borderId="14" xfId="0" applyNumberFormat="1" applyFill="1" applyBorder="1"/>
    <xf numFmtId="0" fontId="0" fillId="4" borderId="14" xfId="0" applyFill="1" applyBorder="1" applyAlignment="1">
      <alignment horizontal="right"/>
    </xf>
    <xf numFmtId="0" fontId="0" fillId="4" borderId="16" xfId="0" applyFill="1" applyBorder="1"/>
    <xf numFmtId="0" fontId="0" fillId="4" borderId="17" xfId="0" applyFill="1" applyBorder="1"/>
    <xf numFmtId="14" fontId="0" fillId="4" borderId="16" xfId="0" applyNumberFormat="1" applyFill="1" applyBorder="1"/>
    <xf numFmtId="20" fontId="0" fillId="4" borderId="16" xfId="0" applyNumberFormat="1" applyFill="1" applyBorder="1"/>
    <xf numFmtId="0" fontId="0" fillId="4" borderId="16" xfId="0" applyFill="1" applyBorder="1" applyAlignment="1">
      <alignment horizontal="right"/>
    </xf>
    <xf numFmtId="0" fontId="0" fillId="0" borderId="18" xfId="0" applyBorder="1"/>
    <xf numFmtId="0" fontId="0" fillId="0" borderId="19" xfId="0" applyBorder="1"/>
    <xf numFmtId="14" fontId="0" fillId="0" borderId="18" xfId="0" applyNumberFormat="1" applyBorder="1"/>
    <xf numFmtId="20" fontId="0" fillId="0" borderId="18" xfId="0" applyNumberFormat="1" applyBorder="1"/>
    <xf numFmtId="0" fontId="0" fillId="4" borderId="18" xfId="0" applyFill="1" applyBorder="1"/>
    <xf numFmtId="0" fontId="0" fillId="4" borderId="18" xfId="0" applyFill="1" applyBorder="1" applyAlignment="1">
      <alignment horizontal="right"/>
    </xf>
    <xf numFmtId="0" fontId="0" fillId="4" borderId="19" xfId="0" applyFill="1" applyBorder="1"/>
    <xf numFmtId="0" fontId="0" fillId="0" borderId="2" xfId="0" applyBorder="1"/>
    <xf numFmtId="0" fontId="0" fillId="0" borderId="7" xfId="0" applyBorder="1"/>
    <xf numFmtId="14" fontId="0" fillId="0" borderId="2" xfId="0" applyNumberFormat="1" applyBorder="1"/>
    <xf numFmtId="20" fontId="0" fillId="0" borderId="2" xfId="0" applyNumberFormat="1" applyBorder="1"/>
    <xf numFmtId="0" fontId="0" fillId="0" borderId="8" xfId="0" applyBorder="1"/>
    <xf numFmtId="0" fontId="0" fillId="0" borderId="9" xfId="0" applyBorder="1"/>
    <xf numFmtId="14" fontId="0" fillId="0" borderId="8" xfId="0" applyNumberFormat="1" applyBorder="1"/>
    <xf numFmtId="20" fontId="0" fillId="0" borderId="8" xfId="0" applyNumberFormat="1" applyBorder="1"/>
    <xf numFmtId="0" fontId="0" fillId="4" borderId="20" xfId="0" applyFill="1" applyBorder="1"/>
    <xf numFmtId="0" fontId="0" fillId="0" borderId="21" xfId="0" applyBorder="1"/>
    <xf numFmtId="0" fontId="0" fillId="4" borderId="22" xfId="0" applyFill="1" applyBorder="1"/>
    <xf numFmtId="0" fontId="0" fillId="4" borderId="23" xfId="0" applyFill="1" applyBorder="1"/>
    <xf numFmtId="0" fontId="0" fillId="4" borderId="11" xfId="0" applyFill="1" applyBorder="1"/>
    <xf numFmtId="0" fontId="0" fillId="4" borderId="21" xfId="0" applyFill="1" applyBorder="1"/>
    <xf numFmtId="0" fontId="0" fillId="0" borderId="23" xfId="0" applyBorder="1"/>
    <xf numFmtId="0" fontId="0" fillId="4" borderId="24" xfId="0" applyFill="1" applyBorder="1"/>
    <xf numFmtId="164" fontId="0" fillId="4" borderId="16" xfId="0" applyNumberFormat="1" applyFill="1" applyBorder="1"/>
    <xf numFmtId="0" fontId="0" fillId="12" borderId="10" xfId="0" applyFill="1" applyBorder="1"/>
    <xf numFmtId="0" fontId="0" fillId="13" borderId="25" xfId="0" applyFill="1" applyBorder="1"/>
    <xf numFmtId="164" fontId="0" fillId="4" borderId="14" xfId="0" applyNumberFormat="1" applyFill="1" applyBorder="1"/>
    <xf numFmtId="0" fontId="1" fillId="4" borderId="16" xfId="0" applyFont="1" applyFill="1" applyBorder="1"/>
    <xf numFmtId="0" fontId="0" fillId="4" borderId="26" xfId="0" applyFill="1" applyBorder="1"/>
  </cellXfs>
  <cellStyles count="1">
    <cellStyle name="Normal" xfId="0" builtinId="0"/>
  </cellStyles>
  <dxfs count="2">
    <dxf>
      <fill>
        <patternFill patternType="solid">
          <bgColor rgb="FFFF7C8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7C80"/>
      <color rgb="FFDDB1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ED57-1F16-4DB6-B291-41771A776444}">
  <dimension ref="B2:C69"/>
  <sheetViews>
    <sheetView workbookViewId="0">
      <selection activeCell="A7" sqref="A7"/>
    </sheetView>
  </sheetViews>
  <sheetFormatPr baseColWidth="10" defaultColWidth="8.7265625" defaultRowHeight="14.5" x14ac:dyDescent="0.35"/>
  <cols>
    <col min="2" max="2" width="21.54296875" customWidth="1"/>
  </cols>
  <sheetData>
    <row r="2" spans="2:3" s="11" customFormat="1" x14ac:dyDescent="0.35">
      <c r="B2" s="12" t="s">
        <v>479</v>
      </c>
    </row>
    <row r="3" spans="2:3" s="5" customFormat="1" x14ac:dyDescent="0.35">
      <c r="B3" s="45" t="s">
        <v>480</v>
      </c>
    </row>
    <row r="5" spans="2:3" x14ac:dyDescent="0.35">
      <c r="B5" t="s">
        <v>481</v>
      </c>
    </row>
    <row r="6" spans="2:3" x14ac:dyDescent="0.35">
      <c r="B6" t="s">
        <v>482</v>
      </c>
    </row>
    <row r="8" spans="2:3" x14ac:dyDescent="0.35">
      <c r="B8" t="s">
        <v>483</v>
      </c>
    </row>
    <row r="9" spans="2:3" x14ac:dyDescent="0.35">
      <c r="B9" t="s">
        <v>484</v>
      </c>
    </row>
    <row r="11" spans="2:3" s="5" customFormat="1" x14ac:dyDescent="0.35">
      <c r="B11" s="45" t="s">
        <v>485</v>
      </c>
    </row>
    <row r="13" spans="2:3" x14ac:dyDescent="0.35">
      <c r="B13" s="9" t="s">
        <v>1</v>
      </c>
      <c r="C13" s="46" t="s">
        <v>486</v>
      </c>
    </row>
    <row r="14" spans="2:3" x14ac:dyDescent="0.35">
      <c r="B14" s="9" t="s">
        <v>2</v>
      </c>
      <c r="C14" s="46" t="s">
        <v>487</v>
      </c>
    </row>
    <row r="15" spans="2:3" x14ac:dyDescent="0.35">
      <c r="B15" s="9" t="s">
        <v>488</v>
      </c>
      <c r="C15" s="46" t="s">
        <v>489</v>
      </c>
    </row>
    <row r="16" spans="2:3" x14ac:dyDescent="0.35">
      <c r="B16" s="9" t="s">
        <v>4</v>
      </c>
      <c r="C16" s="46" t="s">
        <v>490</v>
      </c>
    </row>
    <row r="18" spans="2:3" s="5" customFormat="1" x14ac:dyDescent="0.35">
      <c r="B18" s="45" t="s">
        <v>491</v>
      </c>
    </row>
    <row r="20" spans="2:3" x14ac:dyDescent="0.35">
      <c r="B20" s="5" t="s">
        <v>11</v>
      </c>
      <c r="C20" s="46" t="s">
        <v>492</v>
      </c>
    </row>
    <row r="21" spans="2:3" x14ac:dyDescent="0.35">
      <c r="B21" s="5" t="s">
        <v>12</v>
      </c>
      <c r="C21" s="46" t="s">
        <v>493</v>
      </c>
    </row>
    <row r="22" spans="2:3" x14ac:dyDescent="0.35">
      <c r="B22" s="2" t="s">
        <v>494</v>
      </c>
      <c r="C22" s="46" t="s">
        <v>495</v>
      </c>
    </row>
    <row r="23" spans="2:3" x14ac:dyDescent="0.35">
      <c r="B23" s="2" t="s">
        <v>496</v>
      </c>
      <c r="C23" s="46" t="s">
        <v>497</v>
      </c>
    </row>
    <row r="24" spans="2:3" x14ac:dyDescent="0.35">
      <c r="B24" s="2" t="s">
        <v>15</v>
      </c>
      <c r="C24" s="46" t="s">
        <v>498</v>
      </c>
    </row>
    <row r="25" spans="2:3" x14ac:dyDescent="0.35">
      <c r="B25" s="2" t="s">
        <v>499</v>
      </c>
      <c r="C25" s="46" t="s">
        <v>500</v>
      </c>
    </row>
    <row r="26" spans="2:3" x14ac:dyDescent="0.35">
      <c r="B26" s="2" t="s">
        <v>501</v>
      </c>
      <c r="C26" s="46" t="s">
        <v>502</v>
      </c>
    </row>
    <row r="27" spans="2:3" x14ac:dyDescent="0.35">
      <c r="B27" s="2" t="s">
        <v>503</v>
      </c>
      <c r="C27" s="46" t="s">
        <v>504</v>
      </c>
    </row>
    <row r="28" spans="2:3" x14ac:dyDescent="0.35">
      <c r="B28" s="2" t="s">
        <v>505</v>
      </c>
      <c r="C28" s="46" t="s">
        <v>506</v>
      </c>
    </row>
    <row r="29" spans="2:3" x14ac:dyDescent="0.35">
      <c r="B29" s="2" t="s">
        <v>20</v>
      </c>
      <c r="C29" s="46" t="s">
        <v>507</v>
      </c>
    </row>
    <row r="31" spans="2:3" s="5" customFormat="1" x14ac:dyDescent="0.35">
      <c r="B31" s="45" t="s">
        <v>8</v>
      </c>
    </row>
    <row r="33" spans="2:3" x14ac:dyDescent="0.35">
      <c r="B33" t="s">
        <v>508</v>
      </c>
    </row>
    <row r="34" spans="2:3" x14ac:dyDescent="0.35">
      <c r="B34" t="s">
        <v>509</v>
      </c>
    </row>
    <row r="36" spans="2:3" x14ac:dyDescent="0.35">
      <c r="B36" s="8" t="s">
        <v>21</v>
      </c>
      <c r="C36" s="46" t="s">
        <v>510</v>
      </c>
    </row>
    <row r="37" spans="2:3" x14ac:dyDescent="0.35">
      <c r="B37" s="8" t="s">
        <v>511</v>
      </c>
      <c r="C37" s="46" t="s">
        <v>512</v>
      </c>
    </row>
    <row r="38" spans="2:3" x14ac:dyDescent="0.35">
      <c r="B38" s="8" t="s">
        <v>513</v>
      </c>
      <c r="C38" s="46" t="s">
        <v>514</v>
      </c>
    </row>
    <row r="39" spans="2:3" x14ac:dyDescent="0.35">
      <c r="B39" s="8" t="s">
        <v>515</v>
      </c>
      <c r="C39" s="46" t="s">
        <v>516</v>
      </c>
    </row>
    <row r="40" spans="2:3" x14ac:dyDescent="0.35">
      <c r="B40" s="8" t="s">
        <v>517</v>
      </c>
      <c r="C40" s="46" t="s">
        <v>518</v>
      </c>
    </row>
    <row r="41" spans="2:3" x14ac:dyDescent="0.35">
      <c r="B41" s="8" t="s">
        <v>26</v>
      </c>
      <c r="C41" s="46" t="s">
        <v>519</v>
      </c>
    </row>
    <row r="42" spans="2:3" x14ac:dyDescent="0.35">
      <c r="B42" s="8" t="s">
        <v>27</v>
      </c>
      <c r="C42" s="46" t="s">
        <v>520</v>
      </c>
    </row>
    <row r="44" spans="2:3" s="5" customFormat="1" x14ac:dyDescent="0.35">
      <c r="B44" s="45" t="s">
        <v>521</v>
      </c>
    </row>
    <row r="46" spans="2:3" x14ac:dyDescent="0.35">
      <c r="B46" s="4" t="s">
        <v>522</v>
      </c>
    </row>
    <row r="47" spans="2:3" x14ac:dyDescent="0.35">
      <c r="B47" s="47" t="s">
        <v>28</v>
      </c>
      <c r="C47" s="46" t="s">
        <v>523</v>
      </c>
    </row>
    <row r="49" spans="2:3" x14ac:dyDescent="0.35">
      <c r="B49" s="4" t="s">
        <v>524</v>
      </c>
    </row>
    <row r="50" spans="2:3" x14ac:dyDescent="0.35">
      <c r="B50" s="48" t="s">
        <v>28</v>
      </c>
      <c r="C50" s="46" t="s">
        <v>525</v>
      </c>
    </row>
    <row r="52" spans="2:3" s="5" customFormat="1" x14ac:dyDescent="0.35">
      <c r="B52" s="45" t="s">
        <v>526</v>
      </c>
    </row>
    <row r="54" spans="2:3" x14ac:dyDescent="0.35">
      <c r="B54" t="s">
        <v>527</v>
      </c>
    </row>
    <row r="55" spans="2:3" x14ac:dyDescent="0.35">
      <c r="B55" t="s">
        <v>528</v>
      </c>
    </row>
    <row r="57" spans="2:3" s="5" customFormat="1" x14ac:dyDescent="0.35">
      <c r="B57" s="45" t="s">
        <v>529</v>
      </c>
    </row>
    <row r="59" spans="2:3" x14ac:dyDescent="0.35">
      <c r="B59" s="4" t="s">
        <v>530</v>
      </c>
    </row>
    <row r="60" spans="2:3" x14ac:dyDescent="0.35">
      <c r="B60" t="s">
        <v>531</v>
      </c>
    </row>
    <row r="61" spans="2:3" x14ac:dyDescent="0.35">
      <c r="B61" t="s">
        <v>532</v>
      </c>
    </row>
    <row r="62" spans="2:3" x14ac:dyDescent="0.35">
      <c r="B62" t="s">
        <v>533</v>
      </c>
    </row>
    <row r="64" spans="2:3" x14ac:dyDescent="0.35">
      <c r="B64" s="4" t="s">
        <v>534</v>
      </c>
    </row>
    <row r="65" spans="2:2" x14ac:dyDescent="0.35">
      <c r="B65" t="s">
        <v>535</v>
      </c>
    </row>
    <row r="66" spans="2:2" x14ac:dyDescent="0.35">
      <c r="B66" t="s">
        <v>536</v>
      </c>
    </row>
    <row r="68" spans="2:2" x14ac:dyDescent="0.35">
      <c r="B68" s="4" t="s">
        <v>537</v>
      </c>
    </row>
    <row r="69" spans="2:2" x14ac:dyDescent="0.35">
      <c r="B69" t="s">
        <v>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C2FF-B38C-4FF5-AF5C-3C251C277F76}">
  <dimension ref="A1:S177"/>
  <sheetViews>
    <sheetView tabSelected="1" topLeftCell="L1" zoomScale="74" workbookViewId="0">
      <selection activeCell="C5" sqref="C5"/>
    </sheetView>
  </sheetViews>
  <sheetFormatPr baseColWidth="10" defaultColWidth="11.453125" defaultRowHeight="14.5" x14ac:dyDescent="0.35"/>
  <cols>
    <col min="2" max="2" width="21.81640625" bestFit="1" customWidth="1"/>
    <col min="3" max="3" width="13.453125" bestFit="1" customWidth="1"/>
    <col min="4" max="4" width="14.7265625" bestFit="1" customWidth="1"/>
    <col min="5" max="5" width="40" bestFit="1" customWidth="1"/>
    <col min="6" max="6" width="22" bestFit="1" customWidth="1"/>
    <col min="7" max="7" width="20.1796875" bestFit="1" customWidth="1"/>
    <col min="8" max="8" width="16" bestFit="1" customWidth="1"/>
    <col min="9" max="9" width="20.1796875" bestFit="1" customWidth="1"/>
    <col min="10" max="10" width="34.1796875" bestFit="1" customWidth="1"/>
    <col min="11" max="11" width="14.81640625" bestFit="1" customWidth="1"/>
    <col min="12" max="12" width="19.453125" bestFit="1" customWidth="1"/>
    <col min="13" max="13" width="21.81640625" bestFit="1" customWidth="1"/>
    <col min="14" max="15" width="16.453125" bestFit="1" customWidth="1"/>
    <col min="16" max="16" width="15.453125" bestFit="1" customWidth="1"/>
    <col min="17" max="18" width="21.26953125" bestFit="1" customWidth="1"/>
    <col min="19" max="19" width="41.453125" bestFit="1" customWidth="1"/>
  </cols>
  <sheetData>
    <row r="1" spans="1:19" s="3" customFormat="1" x14ac:dyDescent="0.35"/>
    <row r="2" spans="1:19" s="11" customFormat="1" x14ac:dyDescent="0.35">
      <c r="B2" s="12" t="s">
        <v>0</v>
      </c>
    </row>
    <row r="3" spans="1:19" s="3" customFormat="1" x14ac:dyDescent="0.35">
      <c r="B3" s="13" t="s">
        <v>1</v>
      </c>
      <c r="C3" s="1">
        <v>0.15</v>
      </c>
    </row>
    <row r="4" spans="1:19" s="3" customFormat="1" x14ac:dyDescent="0.35">
      <c r="B4" s="5" t="s">
        <v>2</v>
      </c>
      <c r="C4" s="1">
        <v>300</v>
      </c>
    </row>
    <row r="5" spans="1:19" s="3" customFormat="1" x14ac:dyDescent="0.35">
      <c r="B5" s="5" t="s">
        <v>3</v>
      </c>
      <c r="C5" s="14">
        <f>(PI()*C3^2)</f>
        <v>7.0685834705770348E-2</v>
      </c>
    </row>
    <row r="6" spans="1:19" s="3" customFormat="1" x14ac:dyDescent="0.35">
      <c r="A6"/>
      <c r="B6" s="5" t="s">
        <v>4</v>
      </c>
      <c r="C6" s="1">
        <v>0.3</v>
      </c>
    </row>
    <row r="7" spans="1:19" s="3" customFormat="1" x14ac:dyDescent="0.35">
      <c r="C7" s="6"/>
    </row>
    <row r="8" spans="1:19" s="11" customFormat="1" x14ac:dyDescent="0.35">
      <c r="B8" s="12" t="s">
        <v>5</v>
      </c>
    </row>
    <row r="9" spans="1:19" x14ac:dyDescent="0.35">
      <c r="A9" s="5" t="s">
        <v>6</v>
      </c>
      <c r="B9" s="34"/>
      <c r="C9" s="2" t="s">
        <v>7</v>
      </c>
      <c r="D9" s="2"/>
      <c r="E9" s="2"/>
      <c r="F9" s="2"/>
      <c r="G9" s="2"/>
      <c r="H9" s="2"/>
      <c r="I9" s="2"/>
      <c r="J9" s="36"/>
      <c r="K9" s="8" t="s">
        <v>8</v>
      </c>
      <c r="L9" s="8"/>
      <c r="M9" s="8"/>
      <c r="N9" s="8"/>
      <c r="O9" s="8"/>
      <c r="P9" s="8"/>
      <c r="Q9" s="38"/>
      <c r="R9" s="40" t="s">
        <v>9</v>
      </c>
      <c r="S9" s="83" t="s">
        <v>10</v>
      </c>
    </row>
    <row r="10" spans="1:19" ht="16.5" x14ac:dyDescent="0.35">
      <c r="A10" s="9" t="s">
        <v>11</v>
      </c>
      <c r="B10" s="35" t="s">
        <v>12</v>
      </c>
      <c r="C10" s="7" t="s">
        <v>13</v>
      </c>
      <c r="D10" s="7" t="s">
        <v>14</v>
      </c>
      <c r="E10" s="7" t="s">
        <v>15</v>
      </c>
      <c r="F10" s="7" t="s">
        <v>16</v>
      </c>
      <c r="G10" s="7" t="s">
        <v>17</v>
      </c>
      <c r="H10" s="7" t="s">
        <v>18</v>
      </c>
      <c r="I10" s="7" t="s">
        <v>19</v>
      </c>
      <c r="J10" s="37" t="s">
        <v>20</v>
      </c>
      <c r="K10" s="10" t="s">
        <v>21</v>
      </c>
      <c r="L10" s="10" t="s">
        <v>22</v>
      </c>
      <c r="M10" s="10" t="s">
        <v>23</v>
      </c>
      <c r="N10" s="10" t="s">
        <v>24</v>
      </c>
      <c r="O10" s="10" t="s">
        <v>25</v>
      </c>
      <c r="P10" s="10" t="s">
        <v>26</v>
      </c>
      <c r="Q10" s="39" t="s">
        <v>27</v>
      </c>
      <c r="R10" s="41" t="s">
        <v>557</v>
      </c>
      <c r="S10" s="84" t="s">
        <v>558</v>
      </c>
    </row>
    <row r="11" spans="1:19" x14ac:dyDescent="0.35">
      <c r="A11" s="23" t="s">
        <v>29</v>
      </c>
      <c r="B11" s="28" t="s">
        <v>30</v>
      </c>
      <c r="C11" s="25">
        <v>46204</v>
      </c>
      <c r="D11" s="26">
        <v>0.38194444444444442</v>
      </c>
      <c r="E11" s="24" t="s">
        <v>31</v>
      </c>
      <c r="F11" s="24">
        <v>10.4133</v>
      </c>
      <c r="G11" s="27">
        <v>66.4405</v>
      </c>
      <c r="H11" s="24">
        <v>0.11</v>
      </c>
      <c r="I11" s="24">
        <f>($C$4*H11)*$C$5</f>
        <v>2.3326325452904215</v>
      </c>
      <c r="J11" s="28"/>
      <c r="K11" s="24" t="s">
        <v>32</v>
      </c>
      <c r="L11" s="24" t="s">
        <v>32</v>
      </c>
      <c r="M11" s="24" t="s">
        <v>32</v>
      </c>
      <c r="N11" s="24" t="s">
        <v>32</v>
      </c>
      <c r="O11" s="24" t="s">
        <v>32</v>
      </c>
      <c r="P11" s="24" t="s">
        <v>32</v>
      </c>
      <c r="Q11" s="28" t="s">
        <v>32</v>
      </c>
      <c r="R11" s="42">
        <v>106</v>
      </c>
      <c r="S11" s="28">
        <f>R11/I11</f>
        <v>45.442219441726344</v>
      </c>
    </row>
    <row r="12" spans="1:19" x14ac:dyDescent="0.35">
      <c r="A12" s="29" t="s">
        <v>33</v>
      </c>
      <c r="B12" s="30" t="s">
        <v>34</v>
      </c>
      <c r="C12" s="16">
        <v>46204</v>
      </c>
      <c r="D12" s="17">
        <v>0.3972222222222222</v>
      </c>
      <c r="E12" s="18" t="s">
        <v>31</v>
      </c>
      <c r="F12" s="15">
        <v>10.4116</v>
      </c>
      <c r="G12" s="19">
        <v>63.438800000000001</v>
      </c>
      <c r="H12" s="15">
        <v>0.06</v>
      </c>
      <c r="I12" s="15">
        <f t="shared" ref="I12:I75" si="0">($C$4*H12)*$C$5</f>
        <v>1.2723450247038663</v>
      </c>
      <c r="J12" s="30"/>
      <c r="K12" s="15" t="s">
        <v>32</v>
      </c>
      <c r="L12" s="15" t="s">
        <v>32</v>
      </c>
      <c r="M12" s="24" t="s">
        <v>32</v>
      </c>
      <c r="N12" s="24" t="s">
        <v>32</v>
      </c>
      <c r="O12" s="24" t="s">
        <v>32</v>
      </c>
      <c r="P12" s="24" t="s">
        <v>32</v>
      </c>
      <c r="Q12" s="28" t="s">
        <v>32</v>
      </c>
      <c r="R12" s="43">
        <v>25</v>
      </c>
      <c r="S12" s="28">
        <f t="shared" ref="S12:S75" si="1">R12/I12</f>
        <v>19.648758406406831</v>
      </c>
    </row>
    <row r="13" spans="1:19" x14ac:dyDescent="0.35">
      <c r="A13" s="29" t="s">
        <v>35</v>
      </c>
      <c r="B13" s="30" t="s">
        <v>36</v>
      </c>
      <c r="C13" s="16">
        <v>46204</v>
      </c>
      <c r="D13" s="17">
        <v>0.41319444444444442</v>
      </c>
      <c r="E13" s="18" t="s">
        <v>31</v>
      </c>
      <c r="F13" s="15">
        <v>10.409700000000001</v>
      </c>
      <c r="G13" s="19">
        <v>63.436999999999998</v>
      </c>
      <c r="H13" s="15">
        <v>0.7</v>
      </c>
      <c r="I13" s="15">
        <f t="shared" si="0"/>
        <v>14.844025288211773</v>
      </c>
      <c r="J13" s="30"/>
      <c r="K13" s="15" t="s">
        <v>32</v>
      </c>
      <c r="L13" s="15" t="s">
        <v>32</v>
      </c>
      <c r="M13" s="24" t="s">
        <v>32</v>
      </c>
      <c r="N13" s="24" t="s">
        <v>32</v>
      </c>
      <c r="O13" s="24" t="s">
        <v>32</v>
      </c>
      <c r="P13" s="24" t="s">
        <v>32</v>
      </c>
      <c r="Q13" s="28" t="s">
        <v>32</v>
      </c>
      <c r="R13" s="43">
        <v>83</v>
      </c>
      <c r="S13" s="28">
        <f t="shared" si="1"/>
        <v>5.5914752493660584</v>
      </c>
    </row>
    <row r="14" spans="1:19" x14ac:dyDescent="0.35">
      <c r="A14" s="29" t="s">
        <v>37</v>
      </c>
      <c r="B14" s="30" t="s">
        <v>38</v>
      </c>
      <c r="C14" s="16">
        <v>46204</v>
      </c>
      <c r="D14" s="17">
        <v>0.44097222222222221</v>
      </c>
      <c r="E14" s="15" t="s">
        <v>31</v>
      </c>
      <c r="F14" s="15">
        <v>10.4079</v>
      </c>
      <c r="G14" s="19">
        <v>63.434899999999999</v>
      </c>
      <c r="H14" s="15">
        <v>0.31</v>
      </c>
      <c r="I14" s="15">
        <f t="shared" si="0"/>
        <v>6.5737826276366427</v>
      </c>
      <c r="J14" s="30"/>
      <c r="K14" s="15" t="s">
        <v>32</v>
      </c>
      <c r="L14" s="15" t="s">
        <v>32</v>
      </c>
      <c r="M14" s="24" t="s">
        <v>32</v>
      </c>
      <c r="N14" s="24" t="s">
        <v>32</v>
      </c>
      <c r="O14" s="24" t="s">
        <v>32</v>
      </c>
      <c r="P14" s="24" t="s">
        <v>32</v>
      </c>
      <c r="Q14" s="28" t="s">
        <v>32</v>
      </c>
      <c r="R14" s="43">
        <v>43</v>
      </c>
      <c r="S14" s="28">
        <f t="shared" si="1"/>
        <v>6.5411350565844675</v>
      </c>
    </row>
    <row r="15" spans="1:19" x14ac:dyDescent="0.35">
      <c r="A15" s="29" t="s">
        <v>39</v>
      </c>
      <c r="B15" s="30" t="s">
        <v>40</v>
      </c>
      <c r="C15" s="16">
        <v>46204</v>
      </c>
      <c r="D15" s="17">
        <v>0.45277777777777778</v>
      </c>
      <c r="E15" s="18" t="s">
        <v>31</v>
      </c>
      <c r="F15" s="15">
        <v>10.4064</v>
      </c>
      <c r="G15" s="19">
        <v>63.433</v>
      </c>
      <c r="H15" s="15">
        <v>0.24</v>
      </c>
      <c r="I15" s="15">
        <f t="shared" si="0"/>
        <v>5.0893800988154654</v>
      </c>
      <c r="J15" s="30"/>
      <c r="K15" s="15" t="s">
        <v>32</v>
      </c>
      <c r="L15" s="15" t="s">
        <v>32</v>
      </c>
      <c r="M15" s="24" t="s">
        <v>32</v>
      </c>
      <c r="N15" s="24" t="s">
        <v>32</v>
      </c>
      <c r="O15" s="24" t="s">
        <v>32</v>
      </c>
      <c r="P15" s="24" t="s">
        <v>32</v>
      </c>
      <c r="Q15" s="28" t="s">
        <v>32</v>
      </c>
      <c r="R15" s="43">
        <v>45</v>
      </c>
      <c r="S15" s="28">
        <f t="shared" si="1"/>
        <v>8.8419412828830737</v>
      </c>
    </row>
    <row r="16" spans="1:19" x14ac:dyDescent="0.35">
      <c r="A16" s="29" t="s">
        <v>41</v>
      </c>
      <c r="B16" s="30" t="s">
        <v>42</v>
      </c>
      <c r="C16" s="16">
        <v>46204</v>
      </c>
      <c r="D16" s="17">
        <v>0.46597222222222223</v>
      </c>
      <c r="E16" s="18" t="s">
        <v>31</v>
      </c>
      <c r="F16" s="15">
        <v>10.4049</v>
      </c>
      <c r="G16" s="19">
        <v>63.431199999999997</v>
      </c>
      <c r="H16" s="15">
        <v>0.37</v>
      </c>
      <c r="I16" s="15">
        <f t="shared" si="0"/>
        <v>7.8461276523405088</v>
      </c>
      <c r="J16" s="30"/>
      <c r="K16" s="15" t="s">
        <v>32</v>
      </c>
      <c r="L16" s="15" t="s">
        <v>32</v>
      </c>
      <c r="M16" s="24" t="s">
        <v>32</v>
      </c>
      <c r="N16" s="24" t="s">
        <v>32</v>
      </c>
      <c r="O16" s="24" t="s">
        <v>32</v>
      </c>
      <c r="P16" s="24" t="s">
        <v>32</v>
      </c>
      <c r="Q16" s="28" t="s">
        <v>32</v>
      </c>
      <c r="R16" s="43">
        <v>37</v>
      </c>
      <c r="S16" s="28">
        <f t="shared" si="1"/>
        <v>4.7157020175376392</v>
      </c>
    </row>
    <row r="17" spans="1:19" x14ac:dyDescent="0.35">
      <c r="A17" s="29" t="s">
        <v>43</v>
      </c>
      <c r="B17" s="30" t="s">
        <v>44</v>
      </c>
      <c r="C17" s="16">
        <v>46204</v>
      </c>
      <c r="D17" s="17">
        <v>0.4777777777777778</v>
      </c>
      <c r="E17" s="15" t="s">
        <v>31</v>
      </c>
      <c r="F17" s="15">
        <v>10.402900000000001</v>
      </c>
      <c r="G17" s="19">
        <v>63.429200000000002</v>
      </c>
      <c r="H17" s="15">
        <v>0.35</v>
      </c>
      <c r="I17" s="15">
        <f t="shared" si="0"/>
        <v>7.4220126441058865</v>
      </c>
      <c r="J17" s="30"/>
      <c r="K17" s="15" t="s">
        <v>32</v>
      </c>
      <c r="L17" s="15" t="s">
        <v>32</v>
      </c>
      <c r="M17" s="24" t="s">
        <v>32</v>
      </c>
      <c r="N17" s="24" t="s">
        <v>32</v>
      </c>
      <c r="O17" s="24" t="s">
        <v>32</v>
      </c>
      <c r="P17" s="24" t="s">
        <v>32</v>
      </c>
      <c r="Q17" s="28" t="s">
        <v>32</v>
      </c>
      <c r="R17" s="43">
        <v>203</v>
      </c>
      <c r="S17" s="28">
        <f t="shared" si="1"/>
        <v>27.351071701718311</v>
      </c>
    </row>
    <row r="18" spans="1:19" x14ac:dyDescent="0.35">
      <c r="A18" s="29" t="s">
        <v>45</v>
      </c>
      <c r="B18" s="30" t="s">
        <v>46</v>
      </c>
      <c r="C18" s="16">
        <v>46204</v>
      </c>
      <c r="D18" s="17">
        <v>0.49236111111111114</v>
      </c>
      <c r="E18" s="15" t="s">
        <v>31</v>
      </c>
      <c r="F18" s="15">
        <v>10.402100000000001</v>
      </c>
      <c r="G18" s="19">
        <v>63.427199999999999</v>
      </c>
      <c r="H18" s="15">
        <v>0.03</v>
      </c>
      <c r="I18" s="15">
        <f t="shared" si="0"/>
        <v>0.63617251235193317</v>
      </c>
      <c r="J18" s="30"/>
      <c r="K18" s="15" t="s">
        <v>32</v>
      </c>
      <c r="L18" s="15" t="s">
        <v>32</v>
      </c>
      <c r="M18" s="24" t="s">
        <v>32</v>
      </c>
      <c r="N18" s="24" t="s">
        <v>32</v>
      </c>
      <c r="O18" s="24" t="s">
        <v>32</v>
      </c>
      <c r="P18" s="24" t="s">
        <v>32</v>
      </c>
      <c r="Q18" s="28" t="s">
        <v>32</v>
      </c>
      <c r="R18" s="43">
        <v>15</v>
      </c>
      <c r="S18" s="28">
        <f t="shared" si="1"/>
        <v>23.578510087688198</v>
      </c>
    </row>
    <row r="19" spans="1:19" x14ac:dyDescent="0.35">
      <c r="A19" s="29" t="s">
        <v>47</v>
      </c>
      <c r="B19" s="30" t="s">
        <v>48</v>
      </c>
      <c r="C19" s="16">
        <v>46204</v>
      </c>
      <c r="D19" s="17">
        <v>0.50694444444444442</v>
      </c>
      <c r="E19" s="15" t="s">
        <v>31</v>
      </c>
      <c r="F19" s="15">
        <v>10.398899999999999</v>
      </c>
      <c r="G19" s="19">
        <v>63.424999999999997</v>
      </c>
      <c r="H19" s="15" t="s">
        <v>49</v>
      </c>
      <c r="I19" s="15">
        <v>2.5000000000000001E-4</v>
      </c>
      <c r="J19" s="30"/>
      <c r="K19" s="15" t="s">
        <v>32</v>
      </c>
      <c r="L19" s="15" t="s">
        <v>50</v>
      </c>
      <c r="M19" s="24" t="s">
        <v>32</v>
      </c>
      <c r="N19" s="24" t="s">
        <v>32</v>
      </c>
      <c r="O19" s="24" t="s">
        <v>32</v>
      </c>
      <c r="P19" s="24" t="s">
        <v>32</v>
      </c>
      <c r="Q19" s="30" t="s">
        <v>50</v>
      </c>
      <c r="R19" s="43">
        <v>96</v>
      </c>
      <c r="S19" s="28">
        <f t="shared" si="1"/>
        <v>384000</v>
      </c>
    </row>
    <row r="20" spans="1:19" x14ac:dyDescent="0.35">
      <c r="A20" s="29" t="s">
        <v>51</v>
      </c>
      <c r="B20" s="30" t="s">
        <v>52</v>
      </c>
      <c r="C20" s="16">
        <v>46204</v>
      </c>
      <c r="D20" s="17">
        <v>0.51875000000000004</v>
      </c>
      <c r="E20" s="15" t="s">
        <v>31</v>
      </c>
      <c r="F20" s="15">
        <v>10.395300000000001</v>
      </c>
      <c r="G20" s="19">
        <v>63.424599999999998</v>
      </c>
      <c r="H20" s="15" t="s">
        <v>49</v>
      </c>
      <c r="I20" s="15">
        <v>2.5000000000000001E-4</v>
      </c>
      <c r="J20" s="30"/>
      <c r="K20" s="15" t="s">
        <v>32</v>
      </c>
      <c r="L20" s="15" t="s">
        <v>50</v>
      </c>
      <c r="M20" s="24" t="s">
        <v>32</v>
      </c>
      <c r="N20" s="24" t="s">
        <v>32</v>
      </c>
      <c r="O20" s="24" t="s">
        <v>32</v>
      </c>
      <c r="P20" s="24" t="s">
        <v>32</v>
      </c>
      <c r="Q20" s="30" t="s">
        <v>50</v>
      </c>
      <c r="R20" s="43">
        <v>99</v>
      </c>
      <c r="S20" s="28">
        <f t="shared" si="1"/>
        <v>396000</v>
      </c>
    </row>
    <row r="21" spans="1:19" x14ac:dyDescent="0.35">
      <c r="A21" s="29" t="s">
        <v>53</v>
      </c>
      <c r="B21" s="30" t="s">
        <v>54</v>
      </c>
      <c r="C21" s="16">
        <v>46204</v>
      </c>
      <c r="D21" s="17">
        <v>0.53055555555555556</v>
      </c>
      <c r="E21" s="15" t="s">
        <v>31</v>
      </c>
      <c r="F21" s="15">
        <v>10.392099999999999</v>
      </c>
      <c r="G21" s="19">
        <v>63.424599999999998</v>
      </c>
      <c r="H21" s="15" t="s">
        <v>49</v>
      </c>
      <c r="I21" s="15">
        <v>2.5000000000000001E-4</v>
      </c>
      <c r="J21" s="30"/>
      <c r="K21" s="15" t="s">
        <v>32</v>
      </c>
      <c r="L21" s="15" t="s">
        <v>50</v>
      </c>
      <c r="M21" s="24" t="s">
        <v>32</v>
      </c>
      <c r="N21" s="24" t="s">
        <v>32</v>
      </c>
      <c r="O21" s="24" t="s">
        <v>32</v>
      </c>
      <c r="P21" s="24" t="s">
        <v>32</v>
      </c>
      <c r="Q21" s="30" t="s">
        <v>50</v>
      </c>
      <c r="R21" s="43">
        <v>6</v>
      </c>
      <c r="S21" s="28">
        <f t="shared" si="1"/>
        <v>24000</v>
      </c>
    </row>
    <row r="22" spans="1:19" x14ac:dyDescent="0.35">
      <c r="A22" s="29" t="s">
        <v>55</v>
      </c>
      <c r="B22" s="30" t="s">
        <v>56</v>
      </c>
      <c r="C22" s="16">
        <v>46204</v>
      </c>
      <c r="D22" s="17">
        <v>0.54305555555555551</v>
      </c>
      <c r="E22" s="15" t="s">
        <v>31</v>
      </c>
      <c r="F22" s="15">
        <v>10.3894</v>
      </c>
      <c r="G22" s="19">
        <v>63.4253</v>
      </c>
      <c r="H22" s="15">
        <v>0.1</v>
      </c>
      <c r="I22" s="15">
        <f t="shared" si="0"/>
        <v>2.1205750411731104</v>
      </c>
      <c r="J22" s="30"/>
      <c r="K22" s="15" t="s">
        <v>32</v>
      </c>
      <c r="L22" s="15" t="s">
        <v>32</v>
      </c>
      <c r="M22" s="15" t="s">
        <v>50</v>
      </c>
      <c r="N22" s="24" t="s">
        <v>32</v>
      </c>
      <c r="O22" s="24" t="s">
        <v>32</v>
      </c>
      <c r="P22" s="24" t="s">
        <v>32</v>
      </c>
      <c r="Q22" s="30" t="s">
        <v>32</v>
      </c>
      <c r="R22" s="43">
        <v>17</v>
      </c>
      <c r="S22" s="28">
        <f t="shared" si="1"/>
        <v>8.0166934298139871</v>
      </c>
    </row>
    <row r="23" spans="1:19" x14ac:dyDescent="0.35">
      <c r="A23" s="29" t="s">
        <v>57</v>
      </c>
      <c r="B23" s="30" t="s">
        <v>58</v>
      </c>
      <c r="C23" s="16">
        <v>46204</v>
      </c>
      <c r="D23" s="17">
        <v>0.54513888888888884</v>
      </c>
      <c r="E23" s="15" t="s">
        <v>31</v>
      </c>
      <c r="F23" s="15">
        <v>10.3842</v>
      </c>
      <c r="G23" s="19">
        <v>63.425600000000003</v>
      </c>
      <c r="H23" s="15">
        <f>C6</f>
        <v>0.3</v>
      </c>
      <c r="I23" s="15">
        <f t="shared" si="0"/>
        <v>6.3617251235193315</v>
      </c>
      <c r="J23" s="30"/>
      <c r="K23" s="15" t="s">
        <v>50</v>
      </c>
      <c r="L23" s="15" t="s">
        <v>32</v>
      </c>
      <c r="M23" s="15" t="s">
        <v>32</v>
      </c>
      <c r="N23" s="24" t="s">
        <v>32</v>
      </c>
      <c r="O23" s="24" t="s">
        <v>32</v>
      </c>
      <c r="P23" s="24" t="s">
        <v>32</v>
      </c>
      <c r="Q23" s="30" t="s">
        <v>32</v>
      </c>
      <c r="R23" s="43">
        <v>13</v>
      </c>
      <c r="S23" s="28">
        <f t="shared" si="1"/>
        <v>2.0434708742663106</v>
      </c>
    </row>
    <row r="24" spans="1:19" x14ac:dyDescent="0.35">
      <c r="A24" s="29" t="s">
        <v>59</v>
      </c>
      <c r="B24" s="30" t="s">
        <v>60</v>
      </c>
      <c r="C24" s="16">
        <v>46204</v>
      </c>
      <c r="D24" s="17">
        <v>0.53472222222222221</v>
      </c>
      <c r="E24" s="15" t="s">
        <v>31</v>
      </c>
      <c r="F24" s="15">
        <v>10.3809</v>
      </c>
      <c r="G24" s="19">
        <v>63.427100000000003</v>
      </c>
      <c r="H24" s="15">
        <f>C6</f>
        <v>0.3</v>
      </c>
      <c r="I24" s="15">
        <f t="shared" si="0"/>
        <v>6.3617251235193315</v>
      </c>
      <c r="J24" s="30"/>
      <c r="K24" s="15" t="s">
        <v>50</v>
      </c>
      <c r="L24" s="15" t="s">
        <v>32</v>
      </c>
      <c r="M24" s="15" t="s">
        <v>32</v>
      </c>
      <c r="N24" s="24" t="s">
        <v>32</v>
      </c>
      <c r="O24" s="24" t="s">
        <v>32</v>
      </c>
      <c r="P24" s="24" t="s">
        <v>32</v>
      </c>
      <c r="Q24" s="30" t="s">
        <v>32</v>
      </c>
      <c r="R24" s="43">
        <v>21</v>
      </c>
      <c r="S24" s="28">
        <f t="shared" si="1"/>
        <v>3.3009914122763475</v>
      </c>
    </row>
    <row r="25" spans="1:19" x14ac:dyDescent="0.35">
      <c r="A25" s="29" t="s">
        <v>61</v>
      </c>
      <c r="B25" s="30" t="s">
        <v>62</v>
      </c>
      <c r="C25" s="16">
        <v>46204</v>
      </c>
      <c r="D25" s="17">
        <v>0.52430555555555558</v>
      </c>
      <c r="E25" s="15" t="s">
        <v>31</v>
      </c>
      <c r="F25" s="15">
        <v>10.377700000000001</v>
      </c>
      <c r="G25" s="19">
        <v>63.4283</v>
      </c>
      <c r="H25" s="15">
        <f>C6</f>
        <v>0.3</v>
      </c>
      <c r="I25" s="15">
        <f t="shared" si="0"/>
        <v>6.3617251235193315</v>
      </c>
      <c r="J25" s="30"/>
      <c r="K25" s="15" t="s">
        <v>50</v>
      </c>
      <c r="L25" s="15" t="s">
        <v>32</v>
      </c>
      <c r="M25" s="15" t="s">
        <v>32</v>
      </c>
      <c r="N25" s="24" t="s">
        <v>32</v>
      </c>
      <c r="O25" s="24" t="s">
        <v>32</v>
      </c>
      <c r="P25" s="24" t="s">
        <v>32</v>
      </c>
      <c r="Q25" s="30" t="s">
        <v>32</v>
      </c>
      <c r="R25" s="43">
        <v>9</v>
      </c>
      <c r="S25" s="28">
        <f t="shared" si="1"/>
        <v>1.4147106052612919</v>
      </c>
    </row>
    <row r="26" spans="1:19" x14ac:dyDescent="0.35">
      <c r="A26" s="29" t="s">
        <v>63</v>
      </c>
      <c r="B26" s="30" t="s">
        <v>64</v>
      </c>
      <c r="C26" s="16">
        <v>46204</v>
      </c>
      <c r="D26" s="17">
        <v>0.51388888888888884</v>
      </c>
      <c r="E26" s="15" t="s">
        <v>31</v>
      </c>
      <c r="F26" s="15">
        <v>10.374599999999999</v>
      </c>
      <c r="G26" s="19">
        <v>63.428600000000003</v>
      </c>
      <c r="H26" s="15">
        <f>C6</f>
        <v>0.3</v>
      </c>
      <c r="I26" s="15">
        <f t="shared" si="0"/>
        <v>6.3617251235193315</v>
      </c>
      <c r="J26" s="30"/>
      <c r="K26" s="15" t="s">
        <v>50</v>
      </c>
      <c r="L26" s="15" t="s">
        <v>32</v>
      </c>
      <c r="M26" s="15" t="s">
        <v>32</v>
      </c>
      <c r="N26" s="24" t="s">
        <v>32</v>
      </c>
      <c r="O26" s="24" t="s">
        <v>32</v>
      </c>
      <c r="P26" s="24" t="s">
        <v>32</v>
      </c>
      <c r="Q26" s="30" t="s">
        <v>32</v>
      </c>
      <c r="R26" s="43">
        <v>35</v>
      </c>
      <c r="S26" s="28">
        <f t="shared" si="1"/>
        <v>5.5016523537939124</v>
      </c>
    </row>
    <row r="27" spans="1:19" x14ac:dyDescent="0.35">
      <c r="A27" s="29" t="s">
        <v>65</v>
      </c>
      <c r="B27" s="30" t="s">
        <v>66</v>
      </c>
      <c r="C27" s="16">
        <v>46204</v>
      </c>
      <c r="D27" s="17">
        <v>0.5</v>
      </c>
      <c r="E27" s="15" t="s">
        <v>31</v>
      </c>
      <c r="F27" s="15">
        <v>10.375400000000001</v>
      </c>
      <c r="G27" s="19">
        <v>63.426000000000002</v>
      </c>
      <c r="H27" s="15">
        <f>C6</f>
        <v>0.3</v>
      </c>
      <c r="I27" s="15">
        <f t="shared" si="0"/>
        <v>6.3617251235193315</v>
      </c>
      <c r="J27" s="30"/>
      <c r="K27" s="15" t="s">
        <v>50</v>
      </c>
      <c r="L27" s="15" t="s">
        <v>32</v>
      </c>
      <c r="M27" s="15" t="s">
        <v>32</v>
      </c>
      <c r="N27" s="24" t="s">
        <v>32</v>
      </c>
      <c r="O27" s="24" t="s">
        <v>32</v>
      </c>
      <c r="P27" s="24" t="s">
        <v>32</v>
      </c>
      <c r="Q27" s="30" t="s">
        <v>32</v>
      </c>
      <c r="R27" s="43">
        <v>104</v>
      </c>
      <c r="S27" s="28">
        <f t="shared" si="1"/>
        <v>16.347766994130485</v>
      </c>
    </row>
    <row r="28" spans="1:19" x14ac:dyDescent="0.35">
      <c r="A28" s="29" t="s">
        <v>67</v>
      </c>
      <c r="B28" s="30" t="s">
        <v>68</v>
      </c>
      <c r="C28" s="16">
        <v>46204</v>
      </c>
      <c r="D28" s="17">
        <v>0.45833333333333331</v>
      </c>
      <c r="E28" s="15" t="s">
        <v>31</v>
      </c>
      <c r="F28" s="15">
        <v>10.3819</v>
      </c>
      <c r="G28" s="19">
        <v>63.4223</v>
      </c>
      <c r="H28" s="15">
        <v>0.28000000000000003</v>
      </c>
      <c r="I28" s="15">
        <f t="shared" si="0"/>
        <v>5.9376101152847101</v>
      </c>
      <c r="J28" s="30"/>
      <c r="K28" s="15" t="s">
        <v>32</v>
      </c>
      <c r="L28" s="15" t="s">
        <v>32</v>
      </c>
      <c r="M28" s="15" t="s">
        <v>32</v>
      </c>
      <c r="N28" s="24" t="s">
        <v>32</v>
      </c>
      <c r="O28" s="24" t="s">
        <v>32</v>
      </c>
      <c r="P28" s="24" t="s">
        <v>32</v>
      </c>
      <c r="Q28" s="30" t="s">
        <v>32</v>
      </c>
      <c r="R28" s="43">
        <v>92</v>
      </c>
      <c r="S28" s="28">
        <f t="shared" si="1"/>
        <v>15.4944494861951</v>
      </c>
    </row>
    <row r="29" spans="1:19" x14ac:dyDescent="0.35">
      <c r="A29" s="29" t="s">
        <v>69</v>
      </c>
      <c r="B29" s="30" t="s">
        <v>70</v>
      </c>
      <c r="C29" s="16">
        <v>46204</v>
      </c>
      <c r="D29" s="17">
        <v>0.44444444444444442</v>
      </c>
      <c r="E29" s="15" t="s">
        <v>31</v>
      </c>
      <c r="F29" s="15">
        <v>10.384399999999999</v>
      </c>
      <c r="G29" s="19">
        <v>63.419899999999998</v>
      </c>
      <c r="H29" s="15">
        <v>0.67</v>
      </c>
      <c r="I29" s="15">
        <f t="shared" si="0"/>
        <v>14.207852775859839</v>
      </c>
      <c r="J29" s="30" t="s">
        <v>71</v>
      </c>
      <c r="K29" s="15" t="s">
        <v>32</v>
      </c>
      <c r="L29" s="15" t="s">
        <v>32</v>
      </c>
      <c r="M29" s="15" t="s">
        <v>32</v>
      </c>
      <c r="N29" s="24" t="s">
        <v>32</v>
      </c>
      <c r="O29" s="24" t="s">
        <v>32</v>
      </c>
      <c r="P29" s="24" t="s">
        <v>32</v>
      </c>
      <c r="Q29" s="30" t="s">
        <v>32</v>
      </c>
      <c r="R29" s="43">
        <v>106</v>
      </c>
      <c r="S29" s="28">
        <f t="shared" si="1"/>
        <v>7.4606628934177586</v>
      </c>
    </row>
    <row r="30" spans="1:19" x14ac:dyDescent="0.35">
      <c r="A30" s="29" t="s">
        <v>72</v>
      </c>
      <c r="B30" s="30" t="s">
        <v>73</v>
      </c>
      <c r="C30" s="16">
        <v>46204</v>
      </c>
      <c r="D30" s="17">
        <v>0.4201388888888889</v>
      </c>
      <c r="E30" s="15" t="s">
        <v>31</v>
      </c>
      <c r="F30" s="15">
        <v>10.386100000000001</v>
      </c>
      <c r="G30" s="19">
        <v>63.4163</v>
      </c>
      <c r="H30" s="15">
        <f>C6</f>
        <v>0.3</v>
      </c>
      <c r="I30" s="15">
        <f t="shared" si="0"/>
        <v>6.3617251235193315</v>
      </c>
      <c r="J30" s="30"/>
      <c r="K30" s="15" t="s">
        <v>50</v>
      </c>
      <c r="L30" s="15" t="s">
        <v>32</v>
      </c>
      <c r="M30" s="15" t="s">
        <v>32</v>
      </c>
      <c r="N30" s="24" t="s">
        <v>32</v>
      </c>
      <c r="O30" s="24" t="s">
        <v>32</v>
      </c>
      <c r="P30" s="24" t="s">
        <v>32</v>
      </c>
      <c r="Q30" s="30" t="s">
        <v>32</v>
      </c>
      <c r="R30" s="43">
        <v>12</v>
      </c>
      <c r="S30" s="28">
        <f t="shared" si="1"/>
        <v>1.8862808070150558</v>
      </c>
    </row>
    <row r="31" spans="1:19" x14ac:dyDescent="0.35">
      <c r="A31" s="29" t="s">
        <v>74</v>
      </c>
      <c r="B31" s="30" t="s">
        <v>75</v>
      </c>
      <c r="C31" s="16">
        <v>46204</v>
      </c>
      <c r="D31" s="17">
        <v>0.40625</v>
      </c>
      <c r="E31" s="15" t="s">
        <v>31</v>
      </c>
      <c r="F31" s="15">
        <v>10.3894</v>
      </c>
      <c r="G31" s="19">
        <v>63.4148</v>
      </c>
      <c r="H31" s="15">
        <v>0.53</v>
      </c>
      <c r="I31" s="15">
        <f t="shared" si="0"/>
        <v>11.239047718217485</v>
      </c>
      <c r="J31" s="30"/>
      <c r="K31" s="15" t="s">
        <v>32</v>
      </c>
      <c r="L31" s="15" t="s">
        <v>32</v>
      </c>
      <c r="M31" s="15" t="s">
        <v>32</v>
      </c>
      <c r="N31" s="24" t="s">
        <v>32</v>
      </c>
      <c r="O31" s="24" t="s">
        <v>32</v>
      </c>
      <c r="P31" s="24" t="s">
        <v>32</v>
      </c>
      <c r="Q31" s="30" t="s">
        <v>32</v>
      </c>
      <c r="R31" s="43">
        <v>5</v>
      </c>
      <c r="S31" s="28">
        <f t="shared" si="1"/>
        <v>0.44487754882430564</v>
      </c>
    </row>
    <row r="32" spans="1:19" x14ac:dyDescent="0.35">
      <c r="A32" s="29" t="s">
        <v>76</v>
      </c>
      <c r="B32" s="30" t="s">
        <v>77</v>
      </c>
      <c r="C32" s="16">
        <v>46204</v>
      </c>
      <c r="D32" s="17">
        <v>0.3888888888888889</v>
      </c>
      <c r="E32" s="15" t="s">
        <v>31</v>
      </c>
      <c r="F32" s="15">
        <v>10.393599999999999</v>
      </c>
      <c r="G32" s="19">
        <v>63.414099999999998</v>
      </c>
      <c r="H32" s="15">
        <f>C6</f>
        <v>0.3</v>
      </c>
      <c r="I32" s="15">
        <f t="shared" si="0"/>
        <v>6.3617251235193315</v>
      </c>
      <c r="J32" s="30" t="s">
        <v>78</v>
      </c>
      <c r="K32" s="15" t="s">
        <v>50</v>
      </c>
      <c r="L32" s="15" t="s">
        <v>32</v>
      </c>
      <c r="M32" s="15" t="s">
        <v>32</v>
      </c>
      <c r="N32" s="24" t="s">
        <v>32</v>
      </c>
      <c r="O32" s="24" t="s">
        <v>32</v>
      </c>
      <c r="P32" s="24" t="s">
        <v>32</v>
      </c>
      <c r="Q32" s="30" t="s">
        <v>32</v>
      </c>
      <c r="R32" s="43">
        <v>56</v>
      </c>
      <c r="S32" s="28">
        <f t="shared" si="1"/>
        <v>8.8026437660702594</v>
      </c>
    </row>
    <row r="33" spans="1:19" x14ac:dyDescent="0.35">
      <c r="A33" s="29" t="s">
        <v>79</v>
      </c>
      <c r="B33" s="30" t="s">
        <v>80</v>
      </c>
      <c r="C33" s="16">
        <v>46204</v>
      </c>
      <c r="D33" s="17">
        <v>0.36458333333333331</v>
      </c>
      <c r="E33" s="15" t="s">
        <v>31</v>
      </c>
      <c r="F33" s="15">
        <v>10.395899999999999</v>
      </c>
      <c r="G33" s="19">
        <v>63.412700000000001</v>
      </c>
      <c r="H33" s="15">
        <v>0.4</v>
      </c>
      <c r="I33" s="15">
        <f t="shared" si="0"/>
        <v>8.4823001646924414</v>
      </c>
      <c r="J33" s="30" t="s">
        <v>81</v>
      </c>
      <c r="K33" s="15" t="s">
        <v>32</v>
      </c>
      <c r="L33" s="15" t="s">
        <v>32</v>
      </c>
      <c r="M33" s="15" t="s">
        <v>32</v>
      </c>
      <c r="N33" s="24" t="s">
        <v>32</v>
      </c>
      <c r="O33" s="24" t="s">
        <v>32</v>
      </c>
      <c r="P33" s="24" t="s">
        <v>32</v>
      </c>
      <c r="Q33" s="30" t="s">
        <v>32</v>
      </c>
      <c r="R33" s="43">
        <v>58</v>
      </c>
      <c r="S33" s="28">
        <f t="shared" si="1"/>
        <v>6.8377679254295778</v>
      </c>
    </row>
    <row r="34" spans="1:19" x14ac:dyDescent="0.35">
      <c r="A34" s="29" t="s">
        <v>82</v>
      </c>
      <c r="B34" s="30" t="s">
        <v>83</v>
      </c>
      <c r="C34" s="16">
        <v>46204</v>
      </c>
      <c r="D34" s="17">
        <v>0.57986111111111116</v>
      </c>
      <c r="E34" s="15" t="s">
        <v>31</v>
      </c>
      <c r="F34" s="15">
        <v>10.395300000000001</v>
      </c>
      <c r="G34" s="19">
        <v>63.4116</v>
      </c>
      <c r="H34" s="15">
        <v>0.28000000000000003</v>
      </c>
      <c r="I34" s="15">
        <f t="shared" si="0"/>
        <v>5.9376101152847101</v>
      </c>
      <c r="J34" s="30"/>
      <c r="K34" s="15" t="s">
        <v>32</v>
      </c>
      <c r="L34" s="15" t="s">
        <v>32</v>
      </c>
      <c r="M34" s="15" t="s">
        <v>32</v>
      </c>
      <c r="N34" s="24" t="s">
        <v>32</v>
      </c>
      <c r="O34" s="24" t="s">
        <v>32</v>
      </c>
      <c r="P34" s="24" t="s">
        <v>32</v>
      </c>
      <c r="Q34" s="30" t="s">
        <v>32</v>
      </c>
      <c r="R34" s="43">
        <v>30</v>
      </c>
      <c r="S34" s="28">
        <f t="shared" si="1"/>
        <v>5.0525378759331847</v>
      </c>
    </row>
    <row r="35" spans="1:19" x14ac:dyDescent="0.35">
      <c r="A35" s="29" t="s">
        <v>84</v>
      </c>
      <c r="B35" s="30" t="s">
        <v>85</v>
      </c>
      <c r="C35" s="16">
        <v>46204</v>
      </c>
      <c r="D35" s="17">
        <v>0.60069444444444442</v>
      </c>
      <c r="E35" s="15" t="s">
        <v>31</v>
      </c>
      <c r="F35" s="15">
        <v>10.3919</v>
      </c>
      <c r="G35" s="19">
        <v>63.410699999999999</v>
      </c>
      <c r="H35" s="15">
        <v>0.35</v>
      </c>
      <c r="I35" s="15">
        <f t="shared" si="0"/>
        <v>7.4220126441058865</v>
      </c>
      <c r="J35" s="30"/>
      <c r="K35" s="15" t="s">
        <v>32</v>
      </c>
      <c r="L35" s="15" t="s">
        <v>32</v>
      </c>
      <c r="M35" s="15" t="s">
        <v>32</v>
      </c>
      <c r="N35" s="24" t="s">
        <v>32</v>
      </c>
      <c r="O35" s="24" t="s">
        <v>32</v>
      </c>
      <c r="P35" s="24" t="s">
        <v>32</v>
      </c>
      <c r="Q35" s="30" t="s">
        <v>32</v>
      </c>
      <c r="R35" s="43">
        <v>31</v>
      </c>
      <c r="S35" s="28">
        <f t="shared" si="1"/>
        <v>4.1767646441047663</v>
      </c>
    </row>
    <row r="36" spans="1:19" x14ac:dyDescent="0.35">
      <c r="A36" s="29" t="s">
        <v>86</v>
      </c>
      <c r="B36" s="30" t="s">
        <v>87</v>
      </c>
      <c r="C36" s="16">
        <v>46204</v>
      </c>
      <c r="D36" s="17">
        <v>0.61458333333333337</v>
      </c>
      <c r="E36" s="15" t="s">
        <v>31</v>
      </c>
      <c r="F36" s="15">
        <v>10.3887</v>
      </c>
      <c r="G36" s="19">
        <v>63.41</v>
      </c>
      <c r="H36" s="15">
        <f>C6</f>
        <v>0.3</v>
      </c>
      <c r="I36" s="15">
        <f t="shared" si="0"/>
        <v>6.3617251235193315</v>
      </c>
      <c r="J36" s="30" t="s">
        <v>88</v>
      </c>
      <c r="K36" s="15" t="s">
        <v>50</v>
      </c>
      <c r="L36" s="15" t="s">
        <v>32</v>
      </c>
      <c r="M36" s="15" t="s">
        <v>32</v>
      </c>
      <c r="N36" s="24" t="s">
        <v>32</v>
      </c>
      <c r="O36" s="24" t="s">
        <v>32</v>
      </c>
      <c r="P36" s="24" t="s">
        <v>32</v>
      </c>
      <c r="Q36" s="30" t="s">
        <v>32</v>
      </c>
      <c r="R36" s="43">
        <v>6</v>
      </c>
      <c r="S36" s="28">
        <f t="shared" si="1"/>
        <v>0.94314040350752792</v>
      </c>
    </row>
    <row r="37" spans="1:19" x14ac:dyDescent="0.35">
      <c r="A37" s="29" t="s">
        <v>89</v>
      </c>
      <c r="B37" s="30" t="s">
        <v>90</v>
      </c>
      <c r="C37" s="16">
        <v>46204</v>
      </c>
      <c r="D37" s="17">
        <v>0.63194444444444442</v>
      </c>
      <c r="E37" s="15" t="s">
        <v>31</v>
      </c>
      <c r="F37" s="15">
        <v>10.3909</v>
      </c>
      <c r="G37" s="19">
        <v>63.4084</v>
      </c>
      <c r="H37" s="15">
        <v>0.3</v>
      </c>
      <c r="I37" s="15">
        <f t="shared" si="0"/>
        <v>6.3617251235193315</v>
      </c>
      <c r="J37" s="30"/>
      <c r="K37" s="15" t="s">
        <v>32</v>
      </c>
      <c r="L37" s="15" t="s">
        <v>32</v>
      </c>
      <c r="M37" s="15" t="s">
        <v>32</v>
      </c>
      <c r="N37" s="24" t="s">
        <v>32</v>
      </c>
      <c r="O37" s="24" t="s">
        <v>32</v>
      </c>
      <c r="P37" s="24" t="s">
        <v>32</v>
      </c>
      <c r="Q37" s="30" t="s">
        <v>32</v>
      </c>
      <c r="R37" s="43">
        <v>202</v>
      </c>
      <c r="S37" s="28">
        <f t="shared" si="1"/>
        <v>31.752393584753438</v>
      </c>
    </row>
    <row r="38" spans="1:19" x14ac:dyDescent="0.35">
      <c r="A38" s="29" t="s">
        <v>91</v>
      </c>
      <c r="B38" s="30" t="s">
        <v>92</v>
      </c>
      <c r="C38" s="16">
        <v>46205</v>
      </c>
      <c r="D38" s="17">
        <v>0.3888888888888889</v>
      </c>
      <c r="E38" s="15" t="s">
        <v>93</v>
      </c>
      <c r="F38" s="15">
        <v>10.392300000000001</v>
      </c>
      <c r="G38" s="19">
        <v>63.406300000000002</v>
      </c>
      <c r="H38" s="15">
        <v>0.5</v>
      </c>
      <c r="I38" s="15">
        <f t="shared" si="0"/>
        <v>10.602875205865551</v>
      </c>
      <c r="J38" s="30" t="s">
        <v>94</v>
      </c>
      <c r="K38" s="15" t="s">
        <v>32</v>
      </c>
      <c r="L38" s="15" t="s">
        <v>32</v>
      </c>
      <c r="M38" s="15" t="s">
        <v>32</v>
      </c>
      <c r="N38" s="24" t="s">
        <v>32</v>
      </c>
      <c r="O38" s="24" t="s">
        <v>32</v>
      </c>
      <c r="P38" s="24" t="s">
        <v>32</v>
      </c>
      <c r="Q38" s="30" t="s">
        <v>32</v>
      </c>
      <c r="R38" s="43">
        <v>72</v>
      </c>
      <c r="S38" s="28">
        <f t="shared" si="1"/>
        <v>6.7906109052542014</v>
      </c>
    </row>
    <row r="39" spans="1:19" x14ac:dyDescent="0.35">
      <c r="A39" s="29" t="s">
        <v>95</v>
      </c>
      <c r="B39" s="30" t="s">
        <v>96</v>
      </c>
      <c r="C39" s="16">
        <v>46205</v>
      </c>
      <c r="D39" s="17">
        <v>0.39930555555555558</v>
      </c>
      <c r="E39" s="18" t="s">
        <v>93</v>
      </c>
      <c r="F39" s="15">
        <v>10.389799999999999</v>
      </c>
      <c r="G39" s="19">
        <v>63.404699999999998</v>
      </c>
      <c r="H39" s="15">
        <v>0.55000000000000004</v>
      </c>
      <c r="I39" s="15">
        <f t="shared" si="0"/>
        <v>11.663162726452107</v>
      </c>
      <c r="J39" s="30" t="s">
        <v>94</v>
      </c>
      <c r="K39" s="15" t="s">
        <v>32</v>
      </c>
      <c r="L39" s="15" t="s">
        <v>32</v>
      </c>
      <c r="M39" s="15" t="s">
        <v>32</v>
      </c>
      <c r="N39" s="24" t="s">
        <v>32</v>
      </c>
      <c r="O39" s="24" t="s">
        <v>32</v>
      </c>
      <c r="P39" s="24" t="s">
        <v>32</v>
      </c>
      <c r="Q39" s="30" t="s">
        <v>32</v>
      </c>
      <c r="R39" s="43">
        <v>34</v>
      </c>
      <c r="S39" s="28">
        <f t="shared" si="1"/>
        <v>2.9151612472050865</v>
      </c>
    </row>
    <row r="40" spans="1:19" x14ac:dyDescent="0.35">
      <c r="A40" s="29" t="s">
        <v>97</v>
      </c>
      <c r="B40" s="30" t="s">
        <v>98</v>
      </c>
      <c r="C40" s="16">
        <v>46205</v>
      </c>
      <c r="D40" s="17">
        <v>0.41319444444444442</v>
      </c>
      <c r="E40" s="15" t="s">
        <v>93</v>
      </c>
      <c r="F40" s="15">
        <v>10.3908</v>
      </c>
      <c r="G40" s="19">
        <v>63.4009</v>
      </c>
      <c r="H40" s="15">
        <v>0.23</v>
      </c>
      <c r="I40" s="15">
        <f t="shared" si="0"/>
        <v>4.8773225946981542</v>
      </c>
      <c r="J40" s="30" t="s">
        <v>99</v>
      </c>
      <c r="K40" s="15" t="s">
        <v>32</v>
      </c>
      <c r="L40" s="15" t="s">
        <v>32</v>
      </c>
      <c r="M40" s="15" t="s">
        <v>32</v>
      </c>
      <c r="N40" s="24" t="s">
        <v>32</v>
      </c>
      <c r="O40" s="24" t="s">
        <v>32</v>
      </c>
      <c r="P40" s="24" t="s">
        <v>32</v>
      </c>
      <c r="Q40" s="30" t="s">
        <v>32</v>
      </c>
      <c r="R40" s="43">
        <v>64</v>
      </c>
      <c r="S40" s="28">
        <f t="shared" si="1"/>
        <v>13.121953440104736</v>
      </c>
    </row>
    <row r="41" spans="1:19" x14ac:dyDescent="0.35">
      <c r="A41" s="29" t="s">
        <v>100</v>
      </c>
      <c r="B41" s="30" t="s">
        <v>101</v>
      </c>
      <c r="C41" s="16">
        <v>46205</v>
      </c>
      <c r="D41" s="17">
        <v>0.42708333333333331</v>
      </c>
      <c r="E41" s="18" t="s">
        <v>93</v>
      </c>
      <c r="F41" s="15">
        <v>10.388500000000001</v>
      </c>
      <c r="G41" s="19">
        <v>63.397500000000001</v>
      </c>
      <c r="H41" s="15">
        <v>0.9</v>
      </c>
      <c r="I41" s="15">
        <f t="shared" si="0"/>
        <v>19.085175370557995</v>
      </c>
      <c r="J41" s="30" t="s">
        <v>102</v>
      </c>
      <c r="K41" s="15" t="s">
        <v>32</v>
      </c>
      <c r="L41" s="15" t="s">
        <v>32</v>
      </c>
      <c r="M41" s="15" t="s">
        <v>32</v>
      </c>
      <c r="N41" s="24" t="s">
        <v>32</v>
      </c>
      <c r="O41" s="24" t="s">
        <v>32</v>
      </c>
      <c r="P41" s="24" t="s">
        <v>32</v>
      </c>
      <c r="Q41" s="30" t="s">
        <v>32</v>
      </c>
      <c r="R41" s="43">
        <v>67</v>
      </c>
      <c r="S41" s="28">
        <f t="shared" si="1"/>
        <v>3.510578168611354</v>
      </c>
    </row>
    <row r="42" spans="1:19" x14ac:dyDescent="0.35">
      <c r="A42" s="29" t="s">
        <v>103</v>
      </c>
      <c r="B42" s="30" t="s">
        <v>104</v>
      </c>
      <c r="C42" s="16">
        <v>46205</v>
      </c>
      <c r="D42" s="17">
        <v>0.4375</v>
      </c>
      <c r="E42" s="15" t="s">
        <v>93</v>
      </c>
      <c r="F42" s="15">
        <v>10.3865</v>
      </c>
      <c r="G42" s="19">
        <v>63.393999999999998</v>
      </c>
      <c r="H42" s="15">
        <v>0.47</v>
      </c>
      <c r="I42" s="15">
        <f t="shared" si="0"/>
        <v>9.9667026935136196</v>
      </c>
      <c r="J42" s="30" t="s">
        <v>102</v>
      </c>
      <c r="K42" s="15" t="s">
        <v>32</v>
      </c>
      <c r="L42" s="15" t="s">
        <v>32</v>
      </c>
      <c r="M42" s="15" t="s">
        <v>32</v>
      </c>
      <c r="N42" s="24" t="s">
        <v>32</v>
      </c>
      <c r="O42" s="24" t="s">
        <v>32</v>
      </c>
      <c r="P42" s="24" t="s">
        <v>32</v>
      </c>
      <c r="Q42" s="30" t="s">
        <v>32</v>
      </c>
      <c r="R42" s="43">
        <v>75</v>
      </c>
      <c r="S42" s="28">
        <f t="shared" si="1"/>
        <v>7.5250564109643179</v>
      </c>
    </row>
    <row r="43" spans="1:19" x14ac:dyDescent="0.35">
      <c r="A43" s="29" t="s">
        <v>105</v>
      </c>
      <c r="B43" s="30" t="s">
        <v>106</v>
      </c>
      <c r="C43" s="16">
        <v>46205</v>
      </c>
      <c r="D43" s="17">
        <v>0.44791666666666669</v>
      </c>
      <c r="E43" s="18" t="s">
        <v>93</v>
      </c>
      <c r="F43" s="15">
        <v>10.3917</v>
      </c>
      <c r="G43" s="19">
        <v>63.393799999999999</v>
      </c>
      <c r="H43" s="15">
        <v>0.39</v>
      </c>
      <c r="I43" s="15">
        <f t="shared" si="0"/>
        <v>8.2702426605751302</v>
      </c>
      <c r="J43" s="30" t="s">
        <v>102</v>
      </c>
      <c r="K43" s="15" t="s">
        <v>32</v>
      </c>
      <c r="L43" s="15" t="s">
        <v>32</v>
      </c>
      <c r="M43" s="15" t="s">
        <v>32</v>
      </c>
      <c r="N43" s="24" t="s">
        <v>32</v>
      </c>
      <c r="O43" s="24" t="s">
        <v>32</v>
      </c>
      <c r="P43" s="24" t="s">
        <v>32</v>
      </c>
      <c r="Q43" s="30" t="s">
        <v>32</v>
      </c>
      <c r="R43" s="43">
        <v>295</v>
      </c>
      <c r="S43" s="28">
        <f t="shared" si="1"/>
        <v>35.670053722400098</v>
      </c>
    </row>
    <row r="44" spans="1:19" x14ac:dyDescent="0.35">
      <c r="A44" s="29" t="s">
        <v>107</v>
      </c>
      <c r="B44" s="30" t="s">
        <v>108</v>
      </c>
      <c r="C44" s="16">
        <v>46205</v>
      </c>
      <c r="D44" s="17">
        <v>0.45833333333333331</v>
      </c>
      <c r="E44" s="15" t="s">
        <v>93</v>
      </c>
      <c r="F44" s="15">
        <v>10.3934</v>
      </c>
      <c r="G44" s="19">
        <v>63.3917</v>
      </c>
      <c r="H44" s="15">
        <v>0.33</v>
      </c>
      <c r="I44" s="15">
        <f t="shared" si="0"/>
        <v>6.9978976358712641</v>
      </c>
      <c r="J44" s="30" t="s">
        <v>102</v>
      </c>
      <c r="K44" s="15" t="s">
        <v>32</v>
      </c>
      <c r="L44" s="15" t="s">
        <v>32</v>
      </c>
      <c r="M44" s="15" t="s">
        <v>50</v>
      </c>
      <c r="N44" s="24" t="s">
        <v>32</v>
      </c>
      <c r="O44" s="24" t="s">
        <v>32</v>
      </c>
      <c r="P44" s="24" t="s">
        <v>32</v>
      </c>
      <c r="Q44" s="30" t="s">
        <v>50</v>
      </c>
      <c r="R44" s="43">
        <v>21</v>
      </c>
      <c r="S44" s="28">
        <f t="shared" si="1"/>
        <v>3.0009012838875888</v>
      </c>
    </row>
    <row r="45" spans="1:19" x14ac:dyDescent="0.35">
      <c r="A45" s="29" t="s">
        <v>109</v>
      </c>
      <c r="B45" s="30" t="s">
        <v>110</v>
      </c>
      <c r="C45" s="16">
        <v>46205</v>
      </c>
      <c r="D45" s="17">
        <v>0.47222222222222221</v>
      </c>
      <c r="E45" s="18" t="s">
        <v>93</v>
      </c>
      <c r="F45" s="15">
        <v>10.3879</v>
      </c>
      <c r="G45" s="19">
        <v>63.3902</v>
      </c>
      <c r="H45" s="15">
        <v>0.53</v>
      </c>
      <c r="I45" s="15">
        <f t="shared" si="0"/>
        <v>11.239047718217485</v>
      </c>
      <c r="J45" s="30"/>
      <c r="K45" s="15" t="s">
        <v>32</v>
      </c>
      <c r="L45" s="15" t="s">
        <v>32</v>
      </c>
      <c r="M45" s="15" t="s">
        <v>32</v>
      </c>
      <c r="N45" s="24" t="s">
        <v>32</v>
      </c>
      <c r="O45" s="24" t="s">
        <v>32</v>
      </c>
      <c r="P45" s="24" t="s">
        <v>32</v>
      </c>
      <c r="Q45" s="30" t="s">
        <v>32</v>
      </c>
      <c r="R45" s="43">
        <v>24</v>
      </c>
      <c r="S45" s="28">
        <f t="shared" si="1"/>
        <v>2.135412234356667</v>
      </c>
    </row>
    <row r="46" spans="1:19" x14ac:dyDescent="0.35">
      <c r="A46" s="29" t="s">
        <v>111</v>
      </c>
      <c r="B46" s="30" t="s">
        <v>112</v>
      </c>
      <c r="C46" s="16">
        <v>46205</v>
      </c>
      <c r="D46" s="17">
        <v>0.48958333333333331</v>
      </c>
      <c r="E46" s="15" t="s">
        <v>93</v>
      </c>
      <c r="F46" s="15">
        <v>10.3847</v>
      </c>
      <c r="G46" s="19">
        <v>63.387500000000003</v>
      </c>
      <c r="H46" s="15">
        <v>0.2</v>
      </c>
      <c r="I46" s="15">
        <f t="shared" si="0"/>
        <v>4.2411500823462207</v>
      </c>
      <c r="J46" s="30"/>
      <c r="K46" s="15" t="s">
        <v>32</v>
      </c>
      <c r="L46" s="15" t="s">
        <v>32</v>
      </c>
      <c r="M46" s="15" t="s">
        <v>32</v>
      </c>
      <c r="N46" s="24" t="s">
        <v>32</v>
      </c>
      <c r="O46" s="24" t="s">
        <v>32</v>
      </c>
      <c r="P46" s="24" t="s">
        <v>32</v>
      </c>
      <c r="Q46" s="30" t="s">
        <v>32</v>
      </c>
      <c r="R46" s="43">
        <v>40</v>
      </c>
      <c r="S46" s="28">
        <f t="shared" si="1"/>
        <v>9.4314040350752801</v>
      </c>
    </row>
    <row r="47" spans="1:19" x14ac:dyDescent="0.35">
      <c r="A47" s="29" t="s">
        <v>113</v>
      </c>
      <c r="B47" s="30" t="s">
        <v>114</v>
      </c>
      <c r="C47" s="16">
        <v>46205</v>
      </c>
      <c r="D47" s="17">
        <v>0.50347222222222221</v>
      </c>
      <c r="E47" s="18" t="s">
        <v>93</v>
      </c>
      <c r="F47" s="15">
        <v>10.3857</v>
      </c>
      <c r="G47" s="19">
        <v>63.385100000000001</v>
      </c>
      <c r="H47" s="15">
        <v>0.17</v>
      </c>
      <c r="I47" s="15">
        <f t="shared" si="0"/>
        <v>3.6049775699942881</v>
      </c>
      <c r="J47" s="30" t="s">
        <v>99</v>
      </c>
      <c r="K47" s="15" t="s">
        <v>32</v>
      </c>
      <c r="L47" s="15" t="s">
        <v>32</v>
      </c>
      <c r="M47" s="15" t="s">
        <v>32</v>
      </c>
      <c r="N47" s="24" t="s">
        <v>32</v>
      </c>
      <c r="O47" s="24" t="s">
        <v>32</v>
      </c>
      <c r="P47" s="24" t="s">
        <v>32</v>
      </c>
      <c r="Q47" s="30" t="s">
        <v>32</v>
      </c>
      <c r="R47" s="43">
        <v>29</v>
      </c>
      <c r="S47" s="28">
        <f t="shared" si="1"/>
        <v>8.0444328534465601</v>
      </c>
    </row>
    <row r="48" spans="1:19" x14ac:dyDescent="0.35">
      <c r="A48" s="29" t="s">
        <v>115</v>
      </c>
      <c r="B48" s="30" t="s">
        <v>116</v>
      </c>
      <c r="C48" s="16">
        <v>46205</v>
      </c>
      <c r="D48" s="17">
        <v>0.51388888888888884</v>
      </c>
      <c r="E48" s="15" t="s">
        <v>93</v>
      </c>
      <c r="F48" s="15">
        <v>10.3916</v>
      </c>
      <c r="G48" s="19">
        <v>63.384999999999998</v>
      </c>
      <c r="H48" s="15">
        <v>0.1</v>
      </c>
      <c r="I48" s="15">
        <f t="shared" si="0"/>
        <v>2.1205750411731104</v>
      </c>
      <c r="J48" s="30"/>
      <c r="K48" s="15" t="s">
        <v>32</v>
      </c>
      <c r="L48" s="15" t="s">
        <v>32</v>
      </c>
      <c r="M48" s="15" t="s">
        <v>32</v>
      </c>
      <c r="N48" s="24" t="s">
        <v>32</v>
      </c>
      <c r="O48" s="24" t="s">
        <v>32</v>
      </c>
      <c r="P48" s="24" t="s">
        <v>32</v>
      </c>
      <c r="Q48" s="30" t="s">
        <v>32</v>
      </c>
      <c r="R48" s="43">
        <v>49</v>
      </c>
      <c r="S48" s="28">
        <f t="shared" si="1"/>
        <v>23.106939885934434</v>
      </c>
    </row>
    <row r="49" spans="1:19" x14ac:dyDescent="0.35">
      <c r="A49" s="29" t="s">
        <v>117</v>
      </c>
      <c r="B49" s="30" t="s">
        <v>118</v>
      </c>
      <c r="C49" s="16">
        <v>46205</v>
      </c>
      <c r="D49" s="17">
        <v>0.52430555555555558</v>
      </c>
      <c r="E49" s="15" t="s">
        <v>93</v>
      </c>
      <c r="F49" s="15">
        <v>10.395899999999999</v>
      </c>
      <c r="G49" s="19">
        <v>63.383099999999999</v>
      </c>
      <c r="H49" s="15">
        <v>0.04</v>
      </c>
      <c r="I49" s="15">
        <f t="shared" si="0"/>
        <v>0.84823001646924423</v>
      </c>
      <c r="J49" s="30" t="s">
        <v>119</v>
      </c>
      <c r="K49" s="15" t="s">
        <v>32</v>
      </c>
      <c r="L49" s="15" t="s">
        <v>32</v>
      </c>
      <c r="M49" s="15" t="s">
        <v>32</v>
      </c>
      <c r="N49" s="24" t="s">
        <v>32</v>
      </c>
      <c r="O49" s="24" t="s">
        <v>32</v>
      </c>
      <c r="P49" s="24" t="s">
        <v>32</v>
      </c>
      <c r="Q49" s="30" t="s">
        <v>32</v>
      </c>
      <c r="R49" s="43">
        <v>16</v>
      </c>
      <c r="S49" s="28">
        <f t="shared" si="1"/>
        <v>18.862808070150557</v>
      </c>
    </row>
    <row r="50" spans="1:19" x14ac:dyDescent="0.35">
      <c r="A50" s="29" t="s">
        <v>120</v>
      </c>
      <c r="B50" s="30" t="s">
        <v>121</v>
      </c>
      <c r="C50" s="16">
        <v>46205</v>
      </c>
      <c r="D50" s="17">
        <v>0.55902777777777779</v>
      </c>
      <c r="E50" s="15" t="s">
        <v>93</v>
      </c>
      <c r="F50" s="15">
        <v>10.396599999999999</v>
      </c>
      <c r="G50" s="20">
        <v>63.379199999999997</v>
      </c>
      <c r="H50" s="15">
        <v>0.03</v>
      </c>
      <c r="I50" s="15">
        <f t="shared" si="0"/>
        <v>0.63617251235193317</v>
      </c>
      <c r="J50" s="30" t="s">
        <v>122</v>
      </c>
      <c r="K50" s="15" t="s">
        <v>32</v>
      </c>
      <c r="L50" s="15" t="s">
        <v>32</v>
      </c>
      <c r="M50" s="15" t="s">
        <v>32</v>
      </c>
      <c r="N50" s="24" t="s">
        <v>32</v>
      </c>
      <c r="O50" s="24" t="s">
        <v>32</v>
      </c>
      <c r="P50" s="24" t="s">
        <v>32</v>
      </c>
      <c r="Q50" s="30" t="s">
        <v>32</v>
      </c>
      <c r="R50" s="43">
        <v>87</v>
      </c>
      <c r="S50" s="28">
        <f t="shared" si="1"/>
        <v>136.75535850859154</v>
      </c>
    </row>
    <row r="51" spans="1:19" x14ac:dyDescent="0.35">
      <c r="A51" s="29" t="s">
        <v>123</v>
      </c>
      <c r="B51" s="30" t="s">
        <v>124</v>
      </c>
      <c r="C51" s="16">
        <v>46205</v>
      </c>
      <c r="D51" s="17">
        <v>0.57291666666666663</v>
      </c>
      <c r="E51" s="15" t="s">
        <v>93</v>
      </c>
      <c r="F51" s="15">
        <v>10.394</v>
      </c>
      <c r="G51" s="20">
        <v>63.376199999999997</v>
      </c>
      <c r="H51" s="15" t="s">
        <v>49</v>
      </c>
      <c r="I51" s="15">
        <v>2.5000000000000001E-4</v>
      </c>
      <c r="J51" s="30" t="s">
        <v>125</v>
      </c>
      <c r="K51" s="15" t="s">
        <v>32</v>
      </c>
      <c r="L51" s="15" t="s">
        <v>50</v>
      </c>
      <c r="M51" s="15" t="s">
        <v>32</v>
      </c>
      <c r="N51" s="24" t="s">
        <v>32</v>
      </c>
      <c r="O51" s="15" t="s">
        <v>50</v>
      </c>
      <c r="P51" s="15" t="s">
        <v>32</v>
      </c>
      <c r="Q51" s="30" t="s">
        <v>50</v>
      </c>
      <c r="R51" s="43">
        <v>4</v>
      </c>
      <c r="S51" s="28">
        <f t="shared" si="1"/>
        <v>16000</v>
      </c>
    </row>
    <row r="52" spans="1:19" x14ac:dyDescent="0.35">
      <c r="A52" s="29" t="s">
        <v>126</v>
      </c>
      <c r="B52" s="30" t="s">
        <v>127</v>
      </c>
      <c r="C52" s="16">
        <v>46205</v>
      </c>
      <c r="D52" s="17">
        <v>0.59027777777777779</v>
      </c>
      <c r="E52" s="15" t="s">
        <v>93</v>
      </c>
      <c r="F52" s="15">
        <v>10.4047</v>
      </c>
      <c r="G52" s="20">
        <v>63.376399999999997</v>
      </c>
      <c r="H52" s="15">
        <v>0.05</v>
      </c>
      <c r="I52" s="15">
        <f t="shared" si="0"/>
        <v>1.0602875205865552</v>
      </c>
      <c r="J52" s="30"/>
      <c r="K52" s="15" t="s">
        <v>32</v>
      </c>
      <c r="L52" s="15" t="s">
        <v>32</v>
      </c>
      <c r="M52" s="15" t="s">
        <v>32</v>
      </c>
      <c r="N52" s="24" t="s">
        <v>32</v>
      </c>
      <c r="O52" s="15" t="s">
        <v>32</v>
      </c>
      <c r="P52" s="15" t="s">
        <v>32</v>
      </c>
      <c r="Q52" s="30" t="s">
        <v>32</v>
      </c>
      <c r="R52" s="43">
        <v>27</v>
      </c>
      <c r="S52" s="28">
        <f t="shared" si="1"/>
        <v>25.464790894703256</v>
      </c>
    </row>
    <row r="53" spans="1:19" x14ac:dyDescent="0.35">
      <c r="A53" s="29" t="s">
        <v>128</v>
      </c>
      <c r="B53" s="30" t="s">
        <v>129</v>
      </c>
      <c r="C53" s="16">
        <v>46205</v>
      </c>
      <c r="D53" s="17">
        <v>0.61388888888888893</v>
      </c>
      <c r="E53" s="15" t="s">
        <v>93</v>
      </c>
      <c r="F53" s="18">
        <v>10.4056</v>
      </c>
      <c r="G53" s="20">
        <v>63.373600000000003</v>
      </c>
      <c r="H53" s="15">
        <v>0.01</v>
      </c>
      <c r="I53" s="15">
        <f t="shared" si="0"/>
        <v>0.21205750411731106</v>
      </c>
      <c r="J53" s="30" t="s">
        <v>130</v>
      </c>
      <c r="K53" s="15" t="s">
        <v>32</v>
      </c>
      <c r="L53" s="15" t="s">
        <v>32</v>
      </c>
      <c r="M53" s="15" t="s">
        <v>32</v>
      </c>
      <c r="N53" s="24" t="s">
        <v>32</v>
      </c>
      <c r="O53" s="15" t="s">
        <v>32</v>
      </c>
      <c r="P53" s="15" t="s">
        <v>32</v>
      </c>
      <c r="Q53" s="30" t="s">
        <v>32</v>
      </c>
      <c r="R53" s="43">
        <v>47</v>
      </c>
      <c r="S53" s="28">
        <f t="shared" si="1"/>
        <v>221.63799482426904</v>
      </c>
    </row>
    <row r="54" spans="1:19" x14ac:dyDescent="0.35">
      <c r="A54" s="29" t="s">
        <v>131</v>
      </c>
      <c r="B54" s="30" t="s">
        <v>132</v>
      </c>
      <c r="C54" s="16">
        <v>46205</v>
      </c>
      <c r="D54" s="17">
        <v>0.59513888888888888</v>
      </c>
      <c r="E54" s="15" t="s">
        <v>93</v>
      </c>
      <c r="F54" s="18">
        <v>10.411899999999999</v>
      </c>
      <c r="G54" s="20">
        <v>63.3735</v>
      </c>
      <c r="H54" s="15">
        <f>C6</f>
        <v>0.3</v>
      </c>
      <c r="I54" s="15">
        <f t="shared" si="0"/>
        <v>6.3617251235193315</v>
      </c>
      <c r="J54" s="30" t="s">
        <v>133</v>
      </c>
      <c r="K54" s="15" t="s">
        <v>50</v>
      </c>
      <c r="L54" s="15" t="s">
        <v>32</v>
      </c>
      <c r="M54" s="15" t="s">
        <v>32</v>
      </c>
      <c r="N54" s="24" t="s">
        <v>32</v>
      </c>
      <c r="O54" s="15" t="s">
        <v>32</v>
      </c>
      <c r="P54" s="15" t="s">
        <v>32</v>
      </c>
      <c r="Q54" s="30" t="s">
        <v>32</v>
      </c>
      <c r="R54" s="43">
        <v>10</v>
      </c>
      <c r="S54" s="28">
        <f t="shared" si="1"/>
        <v>1.5719006725125464</v>
      </c>
    </row>
    <row r="55" spans="1:19" x14ac:dyDescent="0.35">
      <c r="A55" s="29" t="s">
        <v>134</v>
      </c>
      <c r="B55" s="30" t="s">
        <v>135</v>
      </c>
      <c r="C55" s="16">
        <v>46205</v>
      </c>
      <c r="D55" s="17">
        <v>0.58958333333333335</v>
      </c>
      <c r="E55" s="15" t="s">
        <v>93</v>
      </c>
      <c r="F55" s="18">
        <v>10.412100000000001</v>
      </c>
      <c r="G55" s="20">
        <v>63.3735</v>
      </c>
      <c r="H55" s="15">
        <f>C6</f>
        <v>0.3</v>
      </c>
      <c r="I55" s="15">
        <f t="shared" si="0"/>
        <v>6.3617251235193315</v>
      </c>
      <c r="J55" s="30" t="s">
        <v>136</v>
      </c>
      <c r="K55" s="15" t="s">
        <v>50</v>
      </c>
      <c r="L55" s="15" t="s">
        <v>32</v>
      </c>
      <c r="M55" s="15" t="s">
        <v>32</v>
      </c>
      <c r="N55" s="24" t="s">
        <v>32</v>
      </c>
      <c r="O55" s="15" t="s">
        <v>32</v>
      </c>
      <c r="P55" s="15" t="s">
        <v>32</v>
      </c>
      <c r="Q55" s="30" t="s">
        <v>32</v>
      </c>
      <c r="R55" s="43">
        <v>16</v>
      </c>
      <c r="S55" s="28">
        <f t="shared" si="1"/>
        <v>2.5150410760200743</v>
      </c>
    </row>
    <row r="56" spans="1:19" x14ac:dyDescent="0.35">
      <c r="A56" s="29" t="s">
        <v>137</v>
      </c>
      <c r="B56" s="30" t="s">
        <v>138</v>
      </c>
      <c r="C56" s="16">
        <v>46205</v>
      </c>
      <c r="D56" s="17">
        <v>0.54722222222222228</v>
      </c>
      <c r="E56" s="15" t="s">
        <v>93</v>
      </c>
      <c r="F56" s="18">
        <v>10.4178</v>
      </c>
      <c r="G56" s="20">
        <v>63.370100000000001</v>
      </c>
      <c r="H56" s="15">
        <v>0.02</v>
      </c>
      <c r="I56" s="15">
        <f t="shared" si="0"/>
        <v>0.42411500823462212</v>
      </c>
      <c r="J56" s="30"/>
      <c r="K56" s="15" t="s">
        <v>32</v>
      </c>
      <c r="L56" s="15" t="s">
        <v>32</v>
      </c>
      <c r="M56" s="15" t="s">
        <v>32</v>
      </c>
      <c r="N56" s="24" t="s">
        <v>32</v>
      </c>
      <c r="O56" s="15" t="s">
        <v>32</v>
      </c>
      <c r="P56" s="15" t="s">
        <v>32</v>
      </c>
      <c r="Q56" s="30" t="s">
        <v>32</v>
      </c>
      <c r="R56" s="43">
        <v>5</v>
      </c>
      <c r="S56" s="28">
        <f t="shared" si="1"/>
        <v>11.789255043844099</v>
      </c>
    </row>
    <row r="57" spans="1:19" x14ac:dyDescent="0.35">
      <c r="A57" s="29" t="s">
        <v>139</v>
      </c>
      <c r="B57" s="30" t="s">
        <v>140</v>
      </c>
      <c r="C57" s="16">
        <v>46205</v>
      </c>
      <c r="D57" s="17">
        <v>0.52986111111111112</v>
      </c>
      <c r="E57" s="15" t="s">
        <v>93</v>
      </c>
      <c r="F57" s="18">
        <v>10.4171</v>
      </c>
      <c r="G57" s="20">
        <v>63.367800000000003</v>
      </c>
      <c r="H57" s="15">
        <v>0.05</v>
      </c>
      <c r="I57" s="15">
        <f t="shared" si="0"/>
        <v>1.0602875205865552</v>
      </c>
      <c r="J57" s="30"/>
      <c r="K57" s="15" t="s">
        <v>32</v>
      </c>
      <c r="L57" s="15" t="s">
        <v>32</v>
      </c>
      <c r="M57" s="15" t="s">
        <v>32</v>
      </c>
      <c r="N57" s="24" t="s">
        <v>32</v>
      </c>
      <c r="O57" s="15" t="s">
        <v>32</v>
      </c>
      <c r="P57" s="15" t="s">
        <v>32</v>
      </c>
      <c r="Q57" s="30" t="s">
        <v>32</v>
      </c>
      <c r="R57" s="43">
        <v>17</v>
      </c>
      <c r="S57" s="28">
        <f t="shared" si="1"/>
        <v>16.033386859627974</v>
      </c>
    </row>
    <row r="58" spans="1:19" x14ac:dyDescent="0.35">
      <c r="A58" s="29" t="s">
        <v>141</v>
      </c>
      <c r="B58" s="30" t="s">
        <v>142</v>
      </c>
      <c r="C58" s="16">
        <v>46205</v>
      </c>
      <c r="D58" s="17">
        <v>0.48402777777777778</v>
      </c>
      <c r="E58" s="15" t="s">
        <v>93</v>
      </c>
      <c r="F58" s="18">
        <v>10.4222</v>
      </c>
      <c r="G58" s="20">
        <v>63.364899999999999</v>
      </c>
      <c r="H58" s="15">
        <v>7.0000000000000007E-2</v>
      </c>
      <c r="I58" s="15">
        <f t="shared" si="0"/>
        <v>1.4844025288211775</v>
      </c>
      <c r="J58" s="30"/>
      <c r="K58" s="15" t="s">
        <v>32</v>
      </c>
      <c r="L58" s="15" t="s">
        <v>32</v>
      </c>
      <c r="M58" s="15" t="s">
        <v>32</v>
      </c>
      <c r="N58" s="24" t="s">
        <v>32</v>
      </c>
      <c r="O58" s="15" t="s">
        <v>32</v>
      </c>
      <c r="P58" s="15" t="s">
        <v>32</v>
      </c>
      <c r="Q58" s="30" t="s">
        <v>32</v>
      </c>
      <c r="R58" s="43">
        <v>10</v>
      </c>
      <c r="S58" s="28">
        <f t="shared" si="1"/>
        <v>6.7367171679109124</v>
      </c>
    </row>
    <row r="59" spans="1:19" x14ac:dyDescent="0.35">
      <c r="A59" s="29" t="s">
        <v>143</v>
      </c>
      <c r="B59" s="30" t="s">
        <v>144</v>
      </c>
      <c r="C59" s="16">
        <v>46205</v>
      </c>
      <c r="D59" s="17">
        <v>0.46388888888888891</v>
      </c>
      <c r="E59" s="15" t="s">
        <v>93</v>
      </c>
      <c r="F59" s="18">
        <v>10.426600000000001</v>
      </c>
      <c r="G59" s="20">
        <v>63.359900000000003</v>
      </c>
      <c r="H59" s="15">
        <f>C6</f>
        <v>0.3</v>
      </c>
      <c r="I59" s="15">
        <f t="shared" si="0"/>
        <v>6.3617251235193315</v>
      </c>
      <c r="J59" s="30" t="s">
        <v>145</v>
      </c>
      <c r="K59" s="15" t="s">
        <v>50</v>
      </c>
      <c r="L59" s="15" t="s">
        <v>32</v>
      </c>
      <c r="M59" s="15" t="s">
        <v>32</v>
      </c>
      <c r="N59" s="24" t="s">
        <v>32</v>
      </c>
      <c r="O59" s="15" t="s">
        <v>32</v>
      </c>
      <c r="P59" s="15" t="s">
        <v>32</v>
      </c>
      <c r="Q59" s="30" t="s">
        <v>32</v>
      </c>
      <c r="R59" s="43">
        <v>29</v>
      </c>
      <c r="S59" s="28">
        <f t="shared" si="1"/>
        <v>4.5585119502863849</v>
      </c>
    </row>
    <row r="60" spans="1:19" x14ac:dyDescent="0.35">
      <c r="A60" s="29" t="s">
        <v>146</v>
      </c>
      <c r="B60" s="30" t="s">
        <v>147</v>
      </c>
      <c r="C60" s="16">
        <v>46205</v>
      </c>
      <c r="D60" s="17">
        <v>0.45</v>
      </c>
      <c r="E60" s="15" t="s">
        <v>93</v>
      </c>
      <c r="F60" s="18">
        <v>10.4292</v>
      </c>
      <c r="G60" s="20">
        <v>63.3568</v>
      </c>
      <c r="H60" s="15">
        <v>0.03</v>
      </c>
      <c r="I60" s="15">
        <f t="shared" si="0"/>
        <v>0.63617251235193317</v>
      </c>
      <c r="J60" s="30" t="s">
        <v>148</v>
      </c>
      <c r="K60" s="15" t="s">
        <v>32</v>
      </c>
      <c r="L60" s="15" t="s">
        <v>32</v>
      </c>
      <c r="M60" s="15" t="s">
        <v>32</v>
      </c>
      <c r="N60" s="24" t="s">
        <v>32</v>
      </c>
      <c r="O60" s="15" t="s">
        <v>32</v>
      </c>
      <c r="P60" s="15" t="s">
        <v>32</v>
      </c>
      <c r="Q60" s="30" t="s">
        <v>32</v>
      </c>
      <c r="R60" s="43">
        <v>24</v>
      </c>
      <c r="S60" s="28">
        <f t="shared" si="1"/>
        <v>37.725616140301113</v>
      </c>
    </row>
    <row r="61" spans="1:19" x14ac:dyDescent="0.35">
      <c r="A61" s="29" t="s">
        <v>149</v>
      </c>
      <c r="B61" s="30" t="s">
        <v>150</v>
      </c>
      <c r="C61" s="16">
        <v>46205</v>
      </c>
      <c r="D61" s="17">
        <v>0.42499999999999999</v>
      </c>
      <c r="E61" s="15" t="s">
        <v>93</v>
      </c>
      <c r="F61" s="15">
        <v>10.4305</v>
      </c>
      <c r="G61" s="20">
        <v>63.3553</v>
      </c>
      <c r="H61" s="15">
        <f>C6</f>
        <v>0.3</v>
      </c>
      <c r="I61" s="15">
        <f t="shared" si="0"/>
        <v>6.3617251235193315</v>
      </c>
      <c r="J61" s="30" t="s">
        <v>151</v>
      </c>
      <c r="K61" s="15" t="s">
        <v>32</v>
      </c>
      <c r="L61" s="15" t="s">
        <v>32</v>
      </c>
      <c r="M61" s="15" t="s">
        <v>32</v>
      </c>
      <c r="N61" s="24" t="s">
        <v>32</v>
      </c>
      <c r="O61" s="15" t="s">
        <v>32</v>
      </c>
      <c r="P61" s="15" t="s">
        <v>32</v>
      </c>
      <c r="Q61" s="30" t="s">
        <v>32</v>
      </c>
      <c r="R61" s="43">
        <v>5</v>
      </c>
      <c r="S61" s="28">
        <f t="shared" si="1"/>
        <v>0.7859503362562732</v>
      </c>
    </row>
    <row r="62" spans="1:19" x14ac:dyDescent="0.35">
      <c r="A62" s="29" t="s">
        <v>152</v>
      </c>
      <c r="B62" s="30" t="s">
        <v>153</v>
      </c>
      <c r="C62" s="16">
        <v>46205</v>
      </c>
      <c r="D62" s="17">
        <v>0.41180555555555554</v>
      </c>
      <c r="E62" s="15" t="s">
        <v>93</v>
      </c>
      <c r="F62" s="15">
        <v>10.4328</v>
      </c>
      <c r="G62" s="20">
        <v>63.351599999999998</v>
      </c>
      <c r="H62" s="15">
        <f>C6</f>
        <v>0.3</v>
      </c>
      <c r="I62" s="15">
        <f t="shared" si="0"/>
        <v>6.3617251235193315</v>
      </c>
      <c r="J62" s="30" t="s">
        <v>154</v>
      </c>
      <c r="K62" s="15" t="s">
        <v>32</v>
      </c>
      <c r="L62" s="15" t="s">
        <v>32</v>
      </c>
      <c r="M62" s="15" t="s">
        <v>32</v>
      </c>
      <c r="N62" s="24" t="s">
        <v>32</v>
      </c>
      <c r="O62" s="15" t="s">
        <v>32</v>
      </c>
      <c r="P62" s="15" t="s">
        <v>32</v>
      </c>
      <c r="Q62" s="30" t="s">
        <v>32</v>
      </c>
      <c r="R62" s="43">
        <v>5</v>
      </c>
      <c r="S62" s="28">
        <f t="shared" si="1"/>
        <v>0.7859503362562732</v>
      </c>
    </row>
    <row r="63" spans="1:19" x14ac:dyDescent="0.35">
      <c r="A63" s="29" t="s">
        <v>155</v>
      </c>
      <c r="B63" s="30" t="s">
        <v>156</v>
      </c>
      <c r="C63" s="16">
        <v>46205</v>
      </c>
      <c r="D63" s="17">
        <v>0.39513888888888887</v>
      </c>
      <c r="E63" s="15" t="s">
        <v>93</v>
      </c>
      <c r="F63" s="15">
        <v>10.436999999999999</v>
      </c>
      <c r="G63" s="20">
        <v>63.348700000000001</v>
      </c>
      <c r="H63" s="15">
        <v>0.04</v>
      </c>
      <c r="I63" s="15">
        <f t="shared" si="0"/>
        <v>0.84823001646924423</v>
      </c>
      <c r="J63" s="30"/>
      <c r="K63" s="15" t="s">
        <v>32</v>
      </c>
      <c r="L63" s="15" t="s">
        <v>32</v>
      </c>
      <c r="M63" s="15" t="s">
        <v>32</v>
      </c>
      <c r="N63" s="24" t="s">
        <v>32</v>
      </c>
      <c r="O63" s="15" t="s">
        <v>32</v>
      </c>
      <c r="P63" s="15" t="s">
        <v>32</v>
      </c>
      <c r="Q63" s="30" t="s">
        <v>32</v>
      </c>
      <c r="R63" s="43">
        <v>19</v>
      </c>
      <c r="S63" s="28">
        <f t="shared" si="1"/>
        <v>22.399584583303785</v>
      </c>
    </row>
    <row r="64" spans="1:19" x14ac:dyDescent="0.35">
      <c r="A64" s="29" t="s">
        <v>157</v>
      </c>
      <c r="B64" s="30" t="s">
        <v>158</v>
      </c>
      <c r="C64" s="16">
        <v>46209</v>
      </c>
      <c r="D64" s="21" t="s">
        <v>159</v>
      </c>
      <c r="E64" s="15" t="s">
        <v>160</v>
      </c>
      <c r="F64" s="19">
        <v>10.43700209</v>
      </c>
      <c r="G64" s="19">
        <v>63.348663119999998</v>
      </c>
      <c r="H64" s="15">
        <f>C6</f>
        <v>0.3</v>
      </c>
      <c r="I64" s="15">
        <f t="shared" si="0"/>
        <v>6.3617251235193315</v>
      </c>
      <c r="J64" s="30"/>
      <c r="K64" s="15" t="s">
        <v>50</v>
      </c>
      <c r="L64" s="15" t="s">
        <v>32</v>
      </c>
      <c r="M64" s="15" t="s">
        <v>32</v>
      </c>
      <c r="N64" s="24" t="s">
        <v>32</v>
      </c>
      <c r="O64" s="15" t="s">
        <v>32</v>
      </c>
      <c r="P64" s="15" t="s">
        <v>32</v>
      </c>
      <c r="Q64" s="30" t="s">
        <v>32</v>
      </c>
      <c r="R64" s="43">
        <v>22</v>
      </c>
      <c r="S64" s="28">
        <f t="shared" si="1"/>
        <v>3.4581814795276022</v>
      </c>
    </row>
    <row r="65" spans="1:19" x14ac:dyDescent="0.35">
      <c r="A65" s="29" t="s">
        <v>161</v>
      </c>
      <c r="B65" s="30" t="s">
        <v>162</v>
      </c>
      <c r="C65" s="16">
        <v>46209</v>
      </c>
      <c r="D65" s="21" t="s">
        <v>163</v>
      </c>
      <c r="E65" s="15" t="s">
        <v>160</v>
      </c>
      <c r="F65" s="19">
        <v>10.43848442</v>
      </c>
      <c r="G65" s="19">
        <v>63.346628189999997</v>
      </c>
      <c r="H65" s="15">
        <v>0.13300000000000001</v>
      </c>
      <c r="I65" s="15">
        <f t="shared" si="0"/>
        <v>2.8203648047602372</v>
      </c>
      <c r="J65" s="30"/>
      <c r="K65" s="15" t="s">
        <v>32</v>
      </c>
      <c r="L65" s="15" t="s">
        <v>32</v>
      </c>
      <c r="M65" s="15" t="s">
        <v>32</v>
      </c>
      <c r="N65" s="24" t="s">
        <v>32</v>
      </c>
      <c r="O65" s="15" t="s">
        <v>32</v>
      </c>
      <c r="P65" s="15" t="s">
        <v>32</v>
      </c>
      <c r="Q65" s="30" t="s">
        <v>32</v>
      </c>
      <c r="R65" s="43">
        <v>20</v>
      </c>
      <c r="S65" s="28">
        <f t="shared" si="1"/>
        <v>7.0912812293799083</v>
      </c>
    </row>
    <row r="66" spans="1:19" x14ac:dyDescent="0.35">
      <c r="A66" s="29" t="s">
        <v>164</v>
      </c>
      <c r="B66" s="30" t="s">
        <v>165</v>
      </c>
      <c r="C66" s="16">
        <v>46209</v>
      </c>
      <c r="D66" s="21" t="s">
        <v>166</v>
      </c>
      <c r="E66" s="15" t="s">
        <v>160</v>
      </c>
      <c r="F66" s="19">
        <v>10.439161670000001</v>
      </c>
      <c r="G66" s="19">
        <v>63.342852690000001</v>
      </c>
      <c r="H66" s="15">
        <f>C6</f>
        <v>0.3</v>
      </c>
      <c r="I66" s="15">
        <f t="shared" si="0"/>
        <v>6.3617251235193315</v>
      </c>
      <c r="J66" s="30"/>
      <c r="K66" s="15" t="s">
        <v>50</v>
      </c>
      <c r="L66" s="15" t="s">
        <v>32</v>
      </c>
      <c r="M66" s="15" t="s">
        <v>32</v>
      </c>
      <c r="N66" s="24" t="s">
        <v>32</v>
      </c>
      <c r="O66" s="15" t="s">
        <v>32</v>
      </c>
      <c r="P66" s="15" t="s">
        <v>32</v>
      </c>
      <c r="Q66" s="30" t="s">
        <v>32</v>
      </c>
      <c r="R66" s="43">
        <v>58</v>
      </c>
      <c r="S66" s="28">
        <f t="shared" si="1"/>
        <v>9.1170239005727698</v>
      </c>
    </row>
    <row r="67" spans="1:19" x14ac:dyDescent="0.35">
      <c r="A67" s="29" t="s">
        <v>167</v>
      </c>
      <c r="B67" s="30" t="s">
        <v>168</v>
      </c>
      <c r="C67" s="16">
        <v>46209</v>
      </c>
      <c r="D67" s="21" t="s">
        <v>169</v>
      </c>
      <c r="E67" s="15" t="s">
        <v>160</v>
      </c>
      <c r="F67" s="19">
        <v>10.44133532</v>
      </c>
      <c r="G67" s="19">
        <v>63.339625640000001</v>
      </c>
      <c r="H67" s="15">
        <v>0.06</v>
      </c>
      <c r="I67" s="15">
        <f t="shared" si="0"/>
        <v>1.2723450247038663</v>
      </c>
      <c r="J67" s="30"/>
      <c r="K67" s="15" t="s">
        <v>32</v>
      </c>
      <c r="L67" s="15" t="s">
        <v>32</v>
      </c>
      <c r="M67" s="15" t="s">
        <v>32</v>
      </c>
      <c r="N67" s="24" t="s">
        <v>32</v>
      </c>
      <c r="O67" s="15" t="s">
        <v>32</v>
      </c>
      <c r="P67" s="15" t="s">
        <v>32</v>
      </c>
      <c r="Q67" s="30" t="s">
        <v>32</v>
      </c>
      <c r="R67" s="43">
        <v>19</v>
      </c>
      <c r="S67" s="28">
        <f t="shared" si="1"/>
        <v>14.933056388869192</v>
      </c>
    </row>
    <row r="68" spans="1:19" x14ac:dyDescent="0.35">
      <c r="A68" s="29" t="s">
        <v>170</v>
      </c>
      <c r="B68" s="30" t="s">
        <v>171</v>
      </c>
      <c r="C68" s="16">
        <v>46209</v>
      </c>
      <c r="D68" s="21" t="s">
        <v>172</v>
      </c>
      <c r="E68" s="15" t="s">
        <v>160</v>
      </c>
      <c r="F68" s="19">
        <v>10.44404237</v>
      </c>
      <c r="G68" s="19">
        <v>63.336574210000002</v>
      </c>
      <c r="H68" s="15">
        <f>C6</f>
        <v>0.3</v>
      </c>
      <c r="I68" s="15">
        <f t="shared" si="0"/>
        <v>6.3617251235193315</v>
      </c>
      <c r="J68" s="30"/>
      <c r="K68" s="15" t="s">
        <v>50</v>
      </c>
      <c r="L68" s="15" t="s">
        <v>32</v>
      </c>
      <c r="M68" s="15" t="s">
        <v>32</v>
      </c>
      <c r="N68" s="24" t="s">
        <v>32</v>
      </c>
      <c r="O68" s="15" t="s">
        <v>32</v>
      </c>
      <c r="P68" s="15" t="s">
        <v>50</v>
      </c>
      <c r="Q68" s="30" t="s">
        <v>32</v>
      </c>
      <c r="R68" s="43">
        <v>43</v>
      </c>
      <c r="S68" s="28">
        <f t="shared" si="1"/>
        <v>6.7591728918039502</v>
      </c>
    </row>
    <row r="69" spans="1:19" x14ac:dyDescent="0.35">
      <c r="A69" s="29" t="s">
        <v>173</v>
      </c>
      <c r="B69" s="30" t="s">
        <v>174</v>
      </c>
      <c r="C69" s="16">
        <v>46209</v>
      </c>
      <c r="D69" s="21" t="s">
        <v>175</v>
      </c>
      <c r="E69" s="15" t="s">
        <v>160</v>
      </c>
      <c r="F69" s="19">
        <v>10.432885560000001</v>
      </c>
      <c r="G69" s="19">
        <v>63.331105809999997</v>
      </c>
      <c r="H69" s="15">
        <v>0.7</v>
      </c>
      <c r="I69" s="15">
        <f t="shared" si="0"/>
        <v>14.844025288211773</v>
      </c>
      <c r="J69" s="30"/>
      <c r="K69" s="15" t="s">
        <v>32</v>
      </c>
      <c r="L69" s="15" t="s">
        <v>32</v>
      </c>
      <c r="M69" s="15" t="s">
        <v>32</v>
      </c>
      <c r="N69" s="24" t="s">
        <v>32</v>
      </c>
      <c r="O69" s="15" t="s">
        <v>32</v>
      </c>
      <c r="P69" s="15" t="s">
        <v>32</v>
      </c>
      <c r="Q69" s="30" t="s">
        <v>32</v>
      </c>
      <c r="R69" s="43">
        <v>12</v>
      </c>
      <c r="S69" s="28">
        <f t="shared" si="1"/>
        <v>0.8084060601493096</v>
      </c>
    </row>
    <row r="70" spans="1:19" x14ac:dyDescent="0.35">
      <c r="A70" s="29" t="s">
        <v>176</v>
      </c>
      <c r="B70" s="30" t="s">
        <v>177</v>
      </c>
      <c r="C70" s="16">
        <v>46209</v>
      </c>
      <c r="D70" s="21" t="s">
        <v>178</v>
      </c>
      <c r="E70" s="15" t="s">
        <v>160</v>
      </c>
      <c r="F70" s="19">
        <v>10.432630530000001</v>
      </c>
      <c r="G70" s="19">
        <v>63.326524970000001</v>
      </c>
      <c r="H70" s="15">
        <v>0.09</v>
      </c>
      <c r="I70" s="15">
        <f t="shared" si="0"/>
        <v>1.9085175370557994</v>
      </c>
      <c r="J70" s="30"/>
      <c r="K70" s="15" t="s">
        <v>32</v>
      </c>
      <c r="L70" s="15" t="s">
        <v>32</v>
      </c>
      <c r="M70" s="15" t="s">
        <v>32</v>
      </c>
      <c r="N70" s="24" t="s">
        <v>32</v>
      </c>
      <c r="O70" s="15" t="s">
        <v>32</v>
      </c>
      <c r="P70" s="15" t="s">
        <v>32</v>
      </c>
      <c r="Q70" s="30" t="s">
        <v>32</v>
      </c>
      <c r="R70" s="43">
        <v>16</v>
      </c>
      <c r="S70" s="28">
        <f t="shared" si="1"/>
        <v>8.3834702534002474</v>
      </c>
    </row>
    <row r="71" spans="1:19" x14ac:dyDescent="0.35">
      <c r="A71" s="29" t="s">
        <v>179</v>
      </c>
      <c r="B71" s="30" t="s">
        <v>180</v>
      </c>
      <c r="C71" s="16">
        <v>46209</v>
      </c>
      <c r="D71" s="21" t="s">
        <v>181</v>
      </c>
      <c r="E71" s="15" t="s">
        <v>160</v>
      </c>
      <c r="F71" s="19">
        <v>10.431400050000001</v>
      </c>
      <c r="G71" s="19">
        <v>63.324048779999998</v>
      </c>
      <c r="H71" s="15">
        <f>C6</f>
        <v>0.3</v>
      </c>
      <c r="I71" s="15">
        <f t="shared" si="0"/>
        <v>6.3617251235193315</v>
      </c>
      <c r="J71" s="30"/>
      <c r="K71" s="15" t="s">
        <v>50</v>
      </c>
      <c r="L71" s="15" t="s">
        <v>32</v>
      </c>
      <c r="M71" s="15" t="s">
        <v>32</v>
      </c>
      <c r="N71" s="24" t="s">
        <v>32</v>
      </c>
      <c r="O71" s="15" t="s">
        <v>32</v>
      </c>
      <c r="P71" s="15" t="s">
        <v>32</v>
      </c>
      <c r="Q71" s="30" t="s">
        <v>32</v>
      </c>
      <c r="R71" s="43"/>
      <c r="S71" s="28">
        <f t="shared" si="1"/>
        <v>0</v>
      </c>
    </row>
    <row r="72" spans="1:19" x14ac:dyDescent="0.35">
      <c r="A72" s="29" t="s">
        <v>182</v>
      </c>
      <c r="B72" s="30" t="s">
        <v>183</v>
      </c>
      <c r="C72" s="16">
        <v>46209</v>
      </c>
      <c r="D72" s="21" t="s">
        <v>184</v>
      </c>
      <c r="E72" s="15" t="s">
        <v>160</v>
      </c>
      <c r="F72" s="19">
        <v>10.43561079</v>
      </c>
      <c r="G72" s="19">
        <v>63.320460369999999</v>
      </c>
      <c r="H72" s="15">
        <f>C6</f>
        <v>0.3</v>
      </c>
      <c r="I72" s="15">
        <f t="shared" si="0"/>
        <v>6.3617251235193315</v>
      </c>
      <c r="J72" s="30"/>
      <c r="K72" s="15" t="s">
        <v>50</v>
      </c>
      <c r="L72" s="15" t="s">
        <v>32</v>
      </c>
      <c r="M72" s="15" t="s">
        <v>32</v>
      </c>
      <c r="N72" s="24" t="s">
        <v>32</v>
      </c>
      <c r="O72" s="15" t="s">
        <v>32</v>
      </c>
      <c r="P72" s="15" t="s">
        <v>32</v>
      </c>
      <c r="Q72" s="30" t="s">
        <v>32</v>
      </c>
      <c r="R72" s="43">
        <v>26</v>
      </c>
      <c r="S72" s="28">
        <f t="shared" si="1"/>
        <v>4.0869417485326212</v>
      </c>
    </row>
    <row r="73" spans="1:19" x14ac:dyDescent="0.35">
      <c r="A73" s="29" t="s">
        <v>185</v>
      </c>
      <c r="B73" s="30" t="s">
        <v>186</v>
      </c>
      <c r="C73" s="16">
        <v>46209</v>
      </c>
      <c r="D73" s="21" t="s">
        <v>187</v>
      </c>
      <c r="E73" s="15" t="s">
        <v>160</v>
      </c>
      <c r="F73" s="19">
        <v>10.44283149</v>
      </c>
      <c r="G73" s="19">
        <v>63.317261670000001</v>
      </c>
      <c r="H73" s="15">
        <f>C6</f>
        <v>0.3</v>
      </c>
      <c r="I73" s="15">
        <f t="shared" si="0"/>
        <v>6.3617251235193315</v>
      </c>
      <c r="J73" s="30"/>
      <c r="K73" s="15" t="s">
        <v>50</v>
      </c>
      <c r="L73" s="15" t="s">
        <v>32</v>
      </c>
      <c r="M73" s="15" t="s">
        <v>32</v>
      </c>
      <c r="N73" s="24" t="s">
        <v>32</v>
      </c>
      <c r="O73" s="15" t="s">
        <v>32</v>
      </c>
      <c r="P73" s="15" t="s">
        <v>32</v>
      </c>
      <c r="Q73" s="30" t="s">
        <v>32</v>
      </c>
      <c r="R73" s="43">
        <v>31</v>
      </c>
      <c r="S73" s="28">
        <f t="shared" si="1"/>
        <v>4.8728920847888944</v>
      </c>
    </row>
    <row r="74" spans="1:19" x14ac:dyDescent="0.35">
      <c r="A74" s="29" t="s">
        <v>188</v>
      </c>
      <c r="B74" s="30" t="s">
        <v>189</v>
      </c>
      <c r="C74" s="16">
        <v>46209</v>
      </c>
      <c r="D74" s="21" t="s">
        <v>190</v>
      </c>
      <c r="E74" s="15" t="s">
        <v>160</v>
      </c>
      <c r="F74" s="19">
        <v>10.45735657</v>
      </c>
      <c r="G74" s="19">
        <v>63.312634209999999</v>
      </c>
      <c r="H74" s="15">
        <f>C6</f>
        <v>0.3</v>
      </c>
      <c r="I74" s="15">
        <f t="shared" si="0"/>
        <v>6.3617251235193315</v>
      </c>
      <c r="J74" s="30"/>
      <c r="K74" s="15" t="s">
        <v>50</v>
      </c>
      <c r="L74" s="15" t="s">
        <v>32</v>
      </c>
      <c r="M74" s="15" t="s">
        <v>32</v>
      </c>
      <c r="N74" s="24" t="s">
        <v>32</v>
      </c>
      <c r="O74" s="15" t="s">
        <v>32</v>
      </c>
      <c r="P74" s="15" t="s">
        <v>50</v>
      </c>
      <c r="Q74" s="30" t="s">
        <v>32</v>
      </c>
      <c r="R74" s="43">
        <v>115</v>
      </c>
      <c r="S74" s="28">
        <f t="shared" si="1"/>
        <v>18.076857733894286</v>
      </c>
    </row>
    <row r="75" spans="1:19" x14ac:dyDescent="0.35">
      <c r="A75" s="29" t="s">
        <v>191</v>
      </c>
      <c r="B75" s="30" t="s">
        <v>192</v>
      </c>
      <c r="C75" s="16">
        <v>46209</v>
      </c>
      <c r="D75" s="21" t="s">
        <v>193</v>
      </c>
      <c r="E75" s="15" t="s">
        <v>160</v>
      </c>
      <c r="F75" s="19">
        <v>10.45347999</v>
      </c>
      <c r="G75" s="19">
        <v>63.310307520000002</v>
      </c>
      <c r="H75" s="15">
        <f>C6</f>
        <v>0.3</v>
      </c>
      <c r="I75" s="15">
        <f t="shared" si="0"/>
        <v>6.3617251235193315</v>
      </c>
      <c r="J75" s="30"/>
      <c r="K75" s="15" t="s">
        <v>50</v>
      </c>
      <c r="L75" s="15" t="s">
        <v>32</v>
      </c>
      <c r="M75" s="15" t="s">
        <v>32</v>
      </c>
      <c r="N75" s="24" t="s">
        <v>32</v>
      </c>
      <c r="O75" s="15" t="s">
        <v>32</v>
      </c>
      <c r="P75" s="15" t="s">
        <v>32</v>
      </c>
      <c r="Q75" s="30" t="s">
        <v>32</v>
      </c>
      <c r="R75" s="43">
        <v>27</v>
      </c>
      <c r="S75" s="28">
        <f t="shared" si="1"/>
        <v>4.2441318157838754</v>
      </c>
    </row>
    <row r="76" spans="1:19" x14ac:dyDescent="0.35">
      <c r="A76" s="29" t="s">
        <v>194</v>
      </c>
      <c r="B76" s="30" t="s">
        <v>195</v>
      </c>
      <c r="C76" s="16">
        <v>46209</v>
      </c>
      <c r="D76" s="21" t="s">
        <v>196</v>
      </c>
      <c r="E76" s="15" t="s">
        <v>160</v>
      </c>
      <c r="F76" s="19">
        <v>10.452854589999999</v>
      </c>
      <c r="G76" s="19">
        <v>63.309612659999999</v>
      </c>
      <c r="H76" s="15">
        <v>0.05</v>
      </c>
      <c r="I76" s="15">
        <f t="shared" ref="I76:I139" si="2">($C$4*H76)*$C$5</f>
        <v>1.0602875205865552</v>
      </c>
      <c r="J76" s="30"/>
      <c r="K76" s="15" t="s">
        <v>32</v>
      </c>
      <c r="L76" s="15" t="s">
        <v>32</v>
      </c>
      <c r="M76" s="15" t="s">
        <v>32</v>
      </c>
      <c r="N76" s="24" t="s">
        <v>32</v>
      </c>
      <c r="O76" s="15" t="s">
        <v>32</v>
      </c>
      <c r="P76" s="15" t="s">
        <v>32</v>
      </c>
      <c r="Q76" s="30" t="s">
        <v>32</v>
      </c>
      <c r="R76" s="43"/>
      <c r="S76" s="28">
        <f t="shared" ref="S76:S139" si="3">R76/I76</f>
        <v>0</v>
      </c>
    </row>
    <row r="77" spans="1:19" x14ac:dyDescent="0.35">
      <c r="A77" s="29" t="s">
        <v>197</v>
      </c>
      <c r="B77" s="30" t="s">
        <v>198</v>
      </c>
      <c r="C77" s="16">
        <v>46209</v>
      </c>
      <c r="D77" s="21" t="s">
        <v>199</v>
      </c>
      <c r="E77" s="15" t="s">
        <v>160</v>
      </c>
      <c r="F77" s="19">
        <v>10.45183832</v>
      </c>
      <c r="G77" s="19">
        <v>63.307488470000003</v>
      </c>
      <c r="H77" s="15">
        <f>C6</f>
        <v>0.3</v>
      </c>
      <c r="I77" s="15">
        <f t="shared" si="2"/>
        <v>6.3617251235193315</v>
      </c>
      <c r="J77" s="30"/>
      <c r="K77" s="15" t="s">
        <v>50</v>
      </c>
      <c r="L77" s="15" t="s">
        <v>32</v>
      </c>
      <c r="M77" s="15" t="s">
        <v>32</v>
      </c>
      <c r="N77" s="24" t="s">
        <v>32</v>
      </c>
      <c r="O77" s="15" t="s">
        <v>32</v>
      </c>
      <c r="P77" s="15" t="s">
        <v>32</v>
      </c>
      <c r="Q77" s="30" t="s">
        <v>32</v>
      </c>
      <c r="R77" s="43">
        <v>30</v>
      </c>
      <c r="S77" s="28">
        <f t="shared" si="3"/>
        <v>4.7157020175376392</v>
      </c>
    </row>
    <row r="78" spans="1:19" x14ac:dyDescent="0.35">
      <c r="A78" s="29" t="s">
        <v>200</v>
      </c>
      <c r="B78" s="30" t="s">
        <v>201</v>
      </c>
      <c r="C78" s="16">
        <v>46209</v>
      </c>
      <c r="D78" s="21" t="s">
        <v>202</v>
      </c>
      <c r="E78" s="15" t="s">
        <v>160</v>
      </c>
      <c r="F78" s="19">
        <v>10.44690675</v>
      </c>
      <c r="G78" s="19">
        <v>63.300131229999998</v>
      </c>
      <c r="H78" s="15">
        <v>0.04</v>
      </c>
      <c r="I78" s="15">
        <f t="shared" si="2"/>
        <v>0.84823001646924423</v>
      </c>
      <c r="J78" s="30"/>
      <c r="K78" s="15" t="s">
        <v>32</v>
      </c>
      <c r="L78" s="15" t="s">
        <v>32</v>
      </c>
      <c r="M78" s="15" t="s">
        <v>50</v>
      </c>
      <c r="N78" s="24" t="s">
        <v>32</v>
      </c>
      <c r="O78" s="15" t="s">
        <v>32</v>
      </c>
      <c r="P78" s="15" t="s">
        <v>32</v>
      </c>
      <c r="Q78" s="30" t="s">
        <v>50</v>
      </c>
      <c r="R78" s="43">
        <v>20</v>
      </c>
      <c r="S78" s="28">
        <f t="shared" si="3"/>
        <v>23.578510087688198</v>
      </c>
    </row>
    <row r="79" spans="1:19" x14ac:dyDescent="0.35">
      <c r="A79" s="29" t="s">
        <v>203</v>
      </c>
      <c r="B79" s="30" t="s">
        <v>204</v>
      </c>
      <c r="C79" s="16">
        <v>46209</v>
      </c>
      <c r="D79" s="21" t="s">
        <v>205</v>
      </c>
      <c r="E79" s="15" t="s">
        <v>160</v>
      </c>
      <c r="F79" s="19">
        <v>10.44729197</v>
      </c>
      <c r="G79" s="19">
        <v>63.29445647</v>
      </c>
      <c r="H79" s="15">
        <f>C6</f>
        <v>0.3</v>
      </c>
      <c r="I79" s="15">
        <f t="shared" si="2"/>
        <v>6.3617251235193315</v>
      </c>
      <c r="J79" s="30"/>
      <c r="K79" s="15" t="s">
        <v>50</v>
      </c>
      <c r="L79" s="15" t="s">
        <v>32</v>
      </c>
      <c r="M79" s="15" t="s">
        <v>32</v>
      </c>
      <c r="N79" s="24" t="s">
        <v>32</v>
      </c>
      <c r="O79" s="15" t="s">
        <v>32</v>
      </c>
      <c r="P79" s="15" t="s">
        <v>32</v>
      </c>
      <c r="Q79" s="30" t="s">
        <v>32</v>
      </c>
      <c r="R79" s="43">
        <v>7</v>
      </c>
      <c r="S79" s="28">
        <f t="shared" si="3"/>
        <v>1.1003304707587824</v>
      </c>
    </row>
    <row r="80" spans="1:19" x14ac:dyDescent="0.35">
      <c r="A80" s="29" t="s">
        <v>206</v>
      </c>
      <c r="B80" s="30" t="s">
        <v>207</v>
      </c>
      <c r="C80" s="16">
        <v>46209</v>
      </c>
      <c r="D80" s="21" t="s">
        <v>208</v>
      </c>
      <c r="E80" s="15" t="s">
        <v>160</v>
      </c>
      <c r="F80" s="19">
        <v>10.453191049999999</v>
      </c>
      <c r="G80" s="19">
        <v>63.293579999999999</v>
      </c>
      <c r="H80" s="15">
        <f>C6</f>
        <v>0.3</v>
      </c>
      <c r="I80" s="15">
        <f t="shared" si="2"/>
        <v>6.3617251235193315</v>
      </c>
      <c r="J80" s="30"/>
      <c r="K80" s="15" t="s">
        <v>50</v>
      </c>
      <c r="L80" s="15" t="s">
        <v>32</v>
      </c>
      <c r="M80" s="15" t="s">
        <v>32</v>
      </c>
      <c r="N80" s="24" t="s">
        <v>32</v>
      </c>
      <c r="O80" s="15" t="s">
        <v>32</v>
      </c>
      <c r="P80" s="15" t="s">
        <v>32</v>
      </c>
      <c r="Q80" s="30" t="s">
        <v>32</v>
      </c>
      <c r="R80" s="43">
        <v>4</v>
      </c>
      <c r="S80" s="28">
        <f t="shared" si="3"/>
        <v>0.62876026900501858</v>
      </c>
    </row>
    <row r="81" spans="1:19" x14ac:dyDescent="0.35">
      <c r="A81" s="29" t="s">
        <v>209</v>
      </c>
      <c r="B81" s="30" t="s">
        <v>210</v>
      </c>
      <c r="C81" s="16">
        <v>46209</v>
      </c>
      <c r="D81" s="21" t="s">
        <v>211</v>
      </c>
      <c r="E81" s="15" t="s">
        <v>160</v>
      </c>
      <c r="F81" s="19">
        <v>10.452426730000001</v>
      </c>
      <c r="G81" s="19">
        <v>63.28909573</v>
      </c>
      <c r="H81" s="21">
        <f>C6</f>
        <v>0.3</v>
      </c>
      <c r="I81" s="15">
        <f t="shared" si="2"/>
        <v>6.3617251235193315</v>
      </c>
      <c r="J81" s="30"/>
      <c r="K81" s="15" t="s">
        <v>50</v>
      </c>
      <c r="L81" s="15" t="s">
        <v>32</v>
      </c>
      <c r="M81" s="15" t="s">
        <v>32</v>
      </c>
      <c r="N81" s="24" t="s">
        <v>32</v>
      </c>
      <c r="O81" s="15" t="s">
        <v>32</v>
      </c>
      <c r="P81" s="15" t="s">
        <v>32</v>
      </c>
      <c r="Q81" s="30" t="s">
        <v>32</v>
      </c>
      <c r="R81" s="43">
        <v>12</v>
      </c>
      <c r="S81" s="28">
        <f t="shared" si="3"/>
        <v>1.8862808070150558</v>
      </c>
    </row>
    <row r="82" spans="1:19" x14ac:dyDescent="0.35">
      <c r="A82" s="29" t="s">
        <v>212</v>
      </c>
      <c r="B82" s="30" t="s">
        <v>213</v>
      </c>
      <c r="C82" s="16">
        <v>46209</v>
      </c>
      <c r="D82" s="21" t="s">
        <v>214</v>
      </c>
      <c r="E82" s="15" t="s">
        <v>160</v>
      </c>
      <c r="F82" s="19">
        <v>10.456106269999999</v>
      </c>
      <c r="G82" s="19">
        <v>63.28519438</v>
      </c>
      <c r="H82" s="15">
        <v>0.16</v>
      </c>
      <c r="I82" s="15">
        <f t="shared" si="2"/>
        <v>3.3929200658769769</v>
      </c>
      <c r="J82" s="30"/>
      <c r="K82" s="15" t="s">
        <v>32</v>
      </c>
      <c r="L82" s="15" t="s">
        <v>32</v>
      </c>
      <c r="M82" s="15" t="s">
        <v>32</v>
      </c>
      <c r="N82" s="24" t="s">
        <v>32</v>
      </c>
      <c r="O82" s="15" t="s">
        <v>32</v>
      </c>
      <c r="P82" s="15" t="s">
        <v>32</v>
      </c>
      <c r="Q82" s="30" t="s">
        <v>32</v>
      </c>
      <c r="R82" s="43">
        <v>145</v>
      </c>
      <c r="S82" s="28">
        <f t="shared" si="3"/>
        <v>42.736049533934853</v>
      </c>
    </row>
    <row r="83" spans="1:19" x14ac:dyDescent="0.35">
      <c r="A83" s="29" t="s">
        <v>215</v>
      </c>
      <c r="B83" s="30" t="s">
        <v>216</v>
      </c>
      <c r="C83" s="16">
        <v>46209</v>
      </c>
      <c r="D83" s="21" t="s">
        <v>217</v>
      </c>
      <c r="E83" s="15" t="s">
        <v>160</v>
      </c>
      <c r="F83" s="19">
        <v>10.46574172</v>
      </c>
      <c r="G83" s="19">
        <v>63.28333112</v>
      </c>
      <c r="H83" s="15">
        <f>C6</f>
        <v>0.3</v>
      </c>
      <c r="I83" s="15">
        <f t="shared" si="2"/>
        <v>6.3617251235193315</v>
      </c>
      <c r="J83" s="30"/>
      <c r="K83" s="15" t="s">
        <v>50</v>
      </c>
      <c r="L83" s="15" t="s">
        <v>32</v>
      </c>
      <c r="M83" s="15" t="s">
        <v>32</v>
      </c>
      <c r="N83" s="24" t="s">
        <v>32</v>
      </c>
      <c r="O83" s="15" t="s">
        <v>32</v>
      </c>
      <c r="P83" s="15" t="s">
        <v>32</v>
      </c>
      <c r="Q83" s="30" t="s">
        <v>32</v>
      </c>
      <c r="R83" s="43">
        <v>13</v>
      </c>
      <c r="S83" s="28">
        <f t="shared" si="3"/>
        <v>2.0434708742663106</v>
      </c>
    </row>
    <row r="84" spans="1:19" x14ac:dyDescent="0.35">
      <c r="A84" s="29" t="s">
        <v>218</v>
      </c>
      <c r="B84" s="30" t="s">
        <v>219</v>
      </c>
      <c r="C84" s="16">
        <v>46209</v>
      </c>
      <c r="D84" s="21" t="s">
        <v>220</v>
      </c>
      <c r="E84" s="15" t="s">
        <v>160</v>
      </c>
      <c r="F84" s="19">
        <v>10.471221480000001</v>
      </c>
      <c r="G84" s="19">
        <v>63.28117262</v>
      </c>
      <c r="H84" s="15">
        <f>C6</f>
        <v>0.3</v>
      </c>
      <c r="I84" s="15">
        <f t="shared" si="2"/>
        <v>6.3617251235193315</v>
      </c>
      <c r="J84" s="30"/>
      <c r="K84" s="15" t="s">
        <v>50</v>
      </c>
      <c r="L84" s="15" t="s">
        <v>32</v>
      </c>
      <c r="M84" s="15" t="s">
        <v>32</v>
      </c>
      <c r="N84" s="24" t="s">
        <v>32</v>
      </c>
      <c r="O84" s="15" t="s">
        <v>32</v>
      </c>
      <c r="P84" s="15" t="s">
        <v>32</v>
      </c>
      <c r="Q84" s="30" t="s">
        <v>32</v>
      </c>
      <c r="R84" s="43">
        <v>63</v>
      </c>
      <c r="S84" s="28">
        <f t="shared" si="3"/>
        <v>9.9029742368290421</v>
      </c>
    </row>
    <row r="85" spans="1:19" x14ac:dyDescent="0.35">
      <c r="A85" s="29" t="s">
        <v>221</v>
      </c>
      <c r="B85" s="30" t="s">
        <v>222</v>
      </c>
      <c r="C85" s="16">
        <v>46209</v>
      </c>
      <c r="D85" s="21" t="s">
        <v>223</v>
      </c>
      <c r="E85" s="15" t="s">
        <v>160</v>
      </c>
      <c r="F85" s="19">
        <v>10.47117957</v>
      </c>
      <c r="G85" s="19">
        <v>63.279530700000002</v>
      </c>
      <c r="H85" s="15">
        <v>0.30859999999999999</v>
      </c>
      <c r="I85" s="15">
        <f t="shared" si="2"/>
        <v>6.5440945770602186</v>
      </c>
      <c r="J85" s="30"/>
      <c r="K85" s="15" t="s">
        <v>32</v>
      </c>
      <c r="L85" s="15" t="s">
        <v>32</v>
      </c>
      <c r="M85" s="15" t="s">
        <v>50</v>
      </c>
      <c r="N85" s="24" t="s">
        <v>32</v>
      </c>
      <c r="O85" s="15" t="s">
        <v>32</v>
      </c>
      <c r="P85" s="15" t="s">
        <v>32</v>
      </c>
      <c r="Q85" s="30" t="s">
        <v>50</v>
      </c>
      <c r="R85" s="43">
        <v>115</v>
      </c>
      <c r="S85" s="28">
        <f t="shared" si="3"/>
        <v>17.573095658354781</v>
      </c>
    </row>
    <row r="86" spans="1:19" x14ac:dyDescent="0.35">
      <c r="A86" s="29" t="s">
        <v>224</v>
      </c>
      <c r="B86" s="30" t="s">
        <v>225</v>
      </c>
      <c r="C86" s="16">
        <v>46209</v>
      </c>
      <c r="D86" s="21" t="s">
        <v>226</v>
      </c>
      <c r="E86" s="15" t="s">
        <v>160</v>
      </c>
      <c r="F86" s="19">
        <v>10.46730078</v>
      </c>
      <c r="G86" s="19">
        <v>63.27672724</v>
      </c>
      <c r="H86" s="15">
        <v>0.20660000000000001</v>
      </c>
      <c r="I86" s="15">
        <f t="shared" si="2"/>
        <v>4.3811080350636464</v>
      </c>
      <c r="J86" s="30"/>
      <c r="K86" s="15" t="s">
        <v>32</v>
      </c>
      <c r="L86" s="15" t="s">
        <v>32</v>
      </c>
      <c r="M86" s="15" t="s">
        <v>32</v>
      </c>
      <c r="N86" s="24" t="s">
        <v>32</v>
      </c>
      <c r="O86" s="15" t="s">
        <v>32</v>
      </c>
      <c r="P86" s="15" t="s">
        <v>32</v>
      </c>
      <c r="Q86" s="30" t="s">
        <v>32</v>
      </c>
      <c r="R86" s="43">
        <v>9</v>
      </c>
      <c r="S86" s="28">
        <f t="shared" si="3"/>
        <v>2.0542748382303366</v>
      </c>
    </row>
    <row r="87" spans="1:19" x14ac:dyDescent="0.35">
      <c r="A87" s="29" t="s">
        <v>227</v>
      </c>
      <c r="B87" s="30" t="s">
        <v>228</v>
      </c>
      <c r="C87" s="16">
        <v>46209</v>
      </c>
      <c r="D87" s="21" t="s">
        <v>229</v>
      </c>
      <c r="E87" s="15" t="s">
        <v>160</v>
      </c>
      <c r="F87" s="19">
        <v>10.46000437</v>
      </c>
      <c r="G87" s="19">
        <v>63.274770670000002</v>
      </c>
      <c r="H87" s="15">
        <f>C6</f>
        <v>0.3</v>
      </c>
      <c r="I87" s="15">
        <f t="shared" si="2"/>
        <v>6.3617251235193315</v>
      </c>
      <c r="J87" s="30"/>
      <c r="K87" s="15" t="s">
        <v>50</v>
      </c>
      <c r="L87" s="15" t="s">
        <v>32</v>
      </c>
      <c r="M87" s="15" t="s">
        <v>50</v>
      </c>
      <c r="N87" s="24" t="s">
        <v>32</v>
      </c>
      <c r="O87" s="15" t="s">
        <v>32</v>
      </c>
      <c r="P87" s="15" t="s">
        <v>32</v>
      </c>
      <c r="Q87" s="30" t="s">
        <v>50</v>
      </c>
      <c r="R87" s="43">
        <v>27</v>
      </c>
      <c r="S87" s="28">
        <f t="shared" si="3"/>
        <v>4.2441318157838754</v>
      </c>
    </row>
    <row r="88" spans="1:19" x14ac:dyDescent="0.35">
      <c r="A88" s="29" t="s">
        <v>230</v>
      </c>
      <c r="B88" s="30" t="s">
        <v>231</v>
      </c>
      <c r="C88" s="16">
        <v>46209</v>
      </c>
      <c r="D88" s="21" t="s">
        <v>232</v>
      </c>
      <c r="E88" s="15" t="s">
        <v>160</v>
      </c>
      <c r="F88" s="19">
        <v>10.4526866</v>
      </c>
      <c r="G88" s="19">
        <v>63.273322479999997</v>
      </c>
      <c r="H88" s="15">
        <f>C6</f>
        <v>0.3</v>
      </c>
      <c r="I88" s="15">
        <f t="shared" si="2"/>
        <v>6.3617251235193315</v>
      </c>
      <c r="J88" s="30"/>
      <c r="K88" s="15" t="s">
        <v>50</v>
      </c>
      <c r="L88" s="15" t="s">
        <v>32</v>
      </c>
      <c r="M88" s="15" t="s">
        <v>50</v>
      </c>
      <c r="N88" s="24" t="s">
        <v>32</v>
      </c>
      <c r="O88" s="15" t="s">
        <v>32</v>
      </c>
      <c r="P88" s="15" t="s">
        <v>32</v>
      </c>
      <c r="Q88" s="30" t="s">
        <v>50</v>
      </c>
      <c r="R88" s="43">
        <v>39</v>
      </c>
      <c r="S88" s="28">
        <f t="shared" si="3"/>
        <v>6.1304126227989313</v>
      </c>
    </row>
    <row r="89" spans="1:19" x14ac:dyDescent="0.35">
      <c r="A89" s="29" t="s">
        <v>233</v>
      </c>
      <c r="B89" s="30" t="s">
        <v>234</v>
      </c>
      <c r="C89" s="16">
        <v>46209</v>
      </c>
      <c r="D89" s="21" t="s">
        <v>211</v>
      </c>
      <c r="E89" s="15" t="s">
        <v>160</v>
      </c>
      <c r="F89" s="19">
        <v>10.45777236</v>
      </c>
      <c r="G89" s="19">
        <v>63.272058479999998</v>
      </c>
      <c r="H89" s="15">
        <f>C6</f>
        <v>0.3</v>
      </c>
      <c r="I89" s="15">
        <f t="shared" si="2"/>
        <v>6.3617251235193315</v>
      </c>
      <c r="J89" s="30"/>
      <c r="K89" s="15" t="s">
        <v>50</v>
      </c>
      <c r="L89" s="15" t="s">
        <v>32</v>
      </c>
      <c r="M89" s="15" t="s">
        <v>32</v>
      </c>
      <c r="N89" s="24" t="s">
        <v>32</v>
      </c>
      <c r="O89" s="15" t="s">
        <v>32</v>
      </c>
      <c r="P89" s="15" t="s">
        <v>32</v>
      </c>
      <c r="Q89" s="30" t="s">
        <v>32</v>
      </c>
      <c r="R89" s="43">
        <v>84</v>
      </c>
      <c r="S89" s="28">
        <f t="shared" si="3"/>
        <v>13.20396564910539</v>
      </c>
    </row>
    <row r="90" spans="1:19" x14ac:dyDescent="0.35">
      <c r="A90" s="29" t="s">
        <v>235</v>
      </c>
      <c r="B90" s="30" t="s">
        <v>236</v>
      </c>
      <c r="C90" s="16">
        <v>46209</v>
      </c>
      <c r="D90" s="21" t="s">
        <v>237</v>
      </c>
      <c r="E90" s="15" t="s">
        <v>160</v>
      </c>
      <c r="F90" s="19">
        <v>10.459396699999999</v>
      </c>
      <c r="G90" s="19">
        <v>63.2637936</v>
      </c>
      <c r="H90" s="15">
        <v>0.12559999999999999</v>
      </c>
      <c r="I90" s="15">
        <f t="shared" si="2"/>
        <v>2.6634422517134269</v>
      </c>
      <c r="J90" s="30"/>
      <c r="K90" s="15" t="s">
        <v>32</v>
      </c>
      <c r="L90" s="15" t="s">
        <v>32</v>
      </c>
      <c r="M90" s="15" t="s">
        <v>32</v>
      </c>
      <c r="N90" s="24" t="s">
        <v>32</v>
      </c>
      <c r="O90" s="15" t="s">
        <v>32</v>
      </c>
      <c r="P90" s="15" t="s">
        <v>32</v>
      </c>
      <c r="Q90" s="30" t="s">
        <v>32</v>
      </c>
      <c r="R90" s="43">
        <v>51</v>
      </c>
      <c r="S90" s="28">
        <f t="shared" si="3"/>
        <v>19.148153096689459</v>
      </c>
    </row>
    <row r="91" spans="1:19" x14ac:dyDescent="0.35">
      <c r="A91" s="29" t="s">
        <v>238</v>
      </c>
      <c r="B91" s="30" t="s">
        <v>239</v>
      </c>
      <c r="C91" s="16">
        <v>46209</v>
      </c>
      <c r="D91" s="21" t="s">
        <v>240</v>
      </c>
      <c r="E91" s="15" t="s">
        <v>160</v>
      </c>
      <c r="F91" s="19">
        <v>10.465286900000001</v>
      </c>
      <c r="G91" s="19">
        <v>63.256712190000002</v>
      </c>
      <c r="H91" s="15">
        <f>C6</f>
        <v>0.3</v>
      </c>
      <c r="I91" s="15">
        <f t="shared" si="2"/>
        <v>6.3617251235193315</v>
      </c>
      <c r="J91" s="30"/>
      <c r="K91" s="15" t="s">
        <v>50</v>
      </c>
      <c r="L91" s="15" t="s">
        <v>32</v>
      </c>
      <c r="M91" s="15" t="s">
        <v>32</v>
      </c>
      <c r="N91" s="24" t="s">
        <v>32</v>
      </c>
      <c r="O91" s="15" t="s">
        <v>32</v>
      </c>
      <c r="P91" s="15" t="s">
        <v>32</v>
      </c>
      <c r="Q91" s="30" t="s">
        <v>32</v>
      </c>
      <c r="R91" s="43">
        <v>13</v>
      </c>
      <c r="S91" s="28">
        <f t="shared" si="3"/>
        <v>2.0434708742663106</v>
      </c>
    </row>
    <row r="92" spans="1:19" x14ac:dyDescent="0.35">
      <c r="A92" s="29" t="s">
        <v>241</v>
      </c>
      <c r="B92" s="30" t="s">
        <v>242</v>
      </c>
      <c r="C92" s="16">
        <v>46209</v>
      </c>
      <c r="D92" s="21" t="s">
        <v>243</v>
      </c>
      <c r="E92" s="15" t="s">
        <v>160</v>
      </c>
      <c r="F92" s="19">
        <v>10.46568583</v>
      </c>
      <c r="G92" s="19">
        <v>63.254362299999997</v>
      </c>
      <c r="H92" s="15">
        <f>C6</f>
        <v>0.3</v>
      </c>
      <c r="I92" s="15">
        <f t="shared" si="2"/>
        <v>6.3617251235193315</v>
      </c>
      <c r="J92" s="30"/>
      <c r="K92" s="15" t="s">
        <v>50</v>
      </c>
      <c r="L92" s="15" t="s">
        <v>32</v>
      </c>
      <c r="M92" s="15" t="s">
        <v>32</v>
      </c>
      <c r="N92" s="24" t="s">
        <v>32</v>
      </c>
      <c r="O92" s="15" t="s">
        <v>32</v>
      </c>
      <c r="P92" s="15" t="s">
        <v>32</v>
      </c>
      <c r="Q92" s="30" t="s">
        <v>32</v>
      </c>
      <c r="R92" s="43">
        <v>16</v>
      </c>
      <c r="S92" s="28">
        <f t="shared" si="3"/>
        <v>2.5150410760200743</v>
      </c>
    </row>
    <row r="93" spans="1:19" x14ac:dyDescent="0.35">
      <c r="A93" s="29" t="s">
        <v>244</v>
      </c>
      <c r="B93" s="30" t="s">
        <v>245</v>
      </c>
      <c r="C93" s="16">
        <v>46209</v>
      </c>
      <c r="D93" s="21" t="s">
        <v>246</v>
      </c>
      <c r="E93" s="15" t="s">
        <v>160</v>
      </c>
      <c r="F93" s="19">
        <v>10.469799549999999</v>
      </c>
      <c r="G93" s="19">
        <v>63.252059559999999</v>
      </c>
      <c r="H93" s="15">
        <f>C6</f>
        <v>0.3</v>
      </c>
      <c r="I93" s="15">
        <f t="shared" si="2"/>
        <v>6.3617251235193315</v>
      </c>
      <c r="J93" s="30"/>
      <c r="K93" s="15" t="s">
        <v>50</v>
      </c>
      <c r="L93" s="15" t="s">
        <v>32</v>
      </c>
      <c r="M93" s="15" t="s">
        <v>50</v>
      </c>
      <c r="N93" s="24" t="s">
        <v>32</v>
      </c>
      <c r="O93" s="15" t="s">
        <v>32</v>
      </c>
      <c r="P93" s="15" t="s">
        <v>32</v>
      </c>
      <c r="Q93" s="30" t="s">
        <v>50</v>
      </c>
      <c r="R93" s="43">
        <v>98</v>
      </c>
      <c r="S93" s="28">
        <f t="shared" si="3"/>
        <v>15.404626590622955</v>
      </c>
    </row>
    <row r="94" spans="1:19" x14ac:dyDescent="0.35">
      <c r="A94" s="29" t="s">
        <v>247</v>
      </c>
      <c r="B94" s="30" t="s">
        <v>248</v>
      </c>
      <c r="C94" s="16">
        <v>46209</v>
      </c>
      <c r="D94" s="21" t="s">
        <v>249</v>
      </c>
      <c r="E94" s="15" t="s">
        <v>160</v>
      </c>
      <c r="F94" s="19">
        <v>10.474586739999999</v>
      </c>
      <c r="G94" s="19">
        <v>63.248813839999997</v>
      </c>
      <c r="H94" s="15">
        <v>3.85E-2</v>
      </c>
      <c r="I94" s="15">
        <f t="shared" si="2"/>
        <v>0.81642139085164755</v>
      </c>
      <c r="J94" s="30"/>
      <c r="K94" s="15" t="s">
        <v>32</v>
      </c>
      <c r="L94" s="15" t="s">
        <v>32</v>
      </c>
      <c r="M94" s="15" t="s">
        <v>32</v>
      </c>
      <c r="N94" s="24" t="s">
        <v>32</v>
      </c>
      <c r="O94" s="15" t="s">
        <v>32</v>
      </c>
      <c r="P94" s="15" t="s">
        <v>32</v>
      </c>
      <c r="Q94" s="30" t="s">
        <v>32</v>
      </c>
      <c r="R94" s="43">
        <v>25</v>
      </c>
      <c r="S94" s="28">
        <f t="shared" si="3"/>
        <v>30.621441672322334</v>
      </c>
    </row>
    <row r="95" spans="1:19" x14ac:dyDescent="0.35">
      <c r="A95" s="29" t="s">
        <v>250</v>
      </c>
      <c r="B95" s="30" t="s">
        <v>251</v>
      </c>
      <c r="C95" s="16">
        <v>46209</v>
      </c>
      <c r="D95" s="21" t="s">
        <v>252</v>
      </c>
      <c r="E95" s="15" t="s">
        <v>160</v>
      </c>
      <c r="F95" s="19">
        <v>10.4823228</v>
      </c>
      <c r="G95" s="19">
        <v>63.246092480000002</v>
      </c>
      <c r="H95" s="15">
        <f>C6</f>
        <v>0.3</v>
      </c>
      <c r="I95" s="15">
        <f t="shared" si="2"/>
        <v>6.3617251235193315</v>
      </c>
      <c r="J95" s="30"/>
      <c r="K95" s="15" t="s">
        <v>50</v>
      </c>
      <c r="L95" s="15" t="s">
        <v>32</v>
      </c>
      <c r="M95" s="15" t="s">
        <v>32</v>
      </c>
      <c r="N95" s="24" t="s">
        <v>32</v>
      </c>
      <c r="O95" s="15" t="s">
        <v>32</v>
      </c>
      <c r="P95" s="15" t="s">
        <v>32</v>
      </c>
      <c r="Q95" s="30" t="s">
        <v>32</v>
      </c>
      <c r="R95" s="43">
        <v>8</v>
      </c>
      <c r="S95" s="28">
        <f t="shared" si="3"/>
        <v>1.2575205380100372</v>
      </c>
    </row>
    <row r="96" spans="1:19" x14ac:dyDescent="0.35">
      <c r="A96" s="29" t="s">
        <v>253</v>
      </c>
      <c r="B96" s="30" t="s">
        <v>254</v>
      </c>
      <c r="C96" s="16">
        <v>46209</v>
      </c>
      <c r="D96" s="21" t="s">
        <v>255</v>
      </c>
      <c r="E96" s="15" t="s">
        <v>160</v>
      </c>
      <c r="F96" s="19">
        <v>10.48613486</v>
      </c>
      <c r="G96" s="19">
        <v>63.244035330000003</v>
      </c>
      <c r="H96" s="15">
        <f>C6</f>
        <v>0.3</v>
      </c>
      <c r="I96" s="15">
        <f t="shared" si="2"/>
        <v>6.3617251235193315</v>
      </c>
      <c r="J96" s="30"/>
      <c r="K96" s="15" t="s">
        <v>50</v>
      </c>
      <c r="L96" s="15" t="s">
        <v>32</v>
      </c>
      <c r="M96" s="15" t="s">
        <v>50</v>
      </c>
      <c r="N96" s="24" t="s">
        <v>32</v>
      </c>
      <c r="O96" s="15" t="s">
        <v>32</v>
      </c>
      <c r="P96" s="15" t="s">
        <v>32</v>
      </c>
      <c r="Q96" s="30" t="s">
        <v>50</v>
      </c>
      <c r="R96" s="43">
        <v>40</v>
      </c>
      <c r="S96" s="28">
        <f t="shared" si="3"/>
        <v>6.2876026900501856</v>
      </c>
    </row>
    <row r="97" spans="1:19" x14ac:dyDescent="0.35">
      <c r="A97" s="29" t="s">
        <v>256</v>
      </c>
      <c r="B97" s="30" t="s">
        <v>257</v>
      </c>
      <c r="C97" s="16">
        <v>46209</v>
      </c>
      <c r="D97" s="21" t="s">
        <v>258</v>
      </c>
      <c r="E97" s="15" t="s">
        <v>160</v>
      </c>
      <c r="F97" s="19">
        <v>10.49080193</v>
      </c>
      <c r="G97" s="19">
        <v>63.248205339999998</v>
      </c>
      <c r="H97" s="15">
        <v>4.2200000000000001E-2</v>
      </c>
      <c r="I97" s="15">
        <f t="shared" si="2"/>
        <v>0.89488266737505262</v>
      </c>
      <c r="J97" s="30"/>
      <c r="K97" s="15" t="s">
        <v>32</v>
      </c>
      <c r="L97" s="15" t="s">
        <v>32</v>
      </c>
      <c r="M97" s="15" t="s">
        <v>32</v>
      </c>
      <c r="N97" s="24" t="s">
        <v>32</v>
      </c>
      <c r="O97" s="15" t="s">
        <v>32</v>
      </c>
      <c r="P97" s="15" t="s">
        <v>32</v>
      </c>
      <c r="Q97" s="30" t="s">
        <v>32</v>
      </c>
      <c r="R97" s="43">
        <v>29</v>
      </c>
      <c r="S97" s="28">
        <f t="shared" si="3"/>
        <v>32.406483058907952</v>
      </c>
    </row>
    <row r="98" spans="1:19" x14ac:dyDescent="0.35">
      <c r="A98" s="29" t="s">
        <v>259</v>
      </c>
      <c r="B98" s="30" t="s">
        <v>260</v>
      </c>
      <c r="C98" s="16">
        <v>46209</v>
      </c>
      <c r="D98" s="21" t="s">
        <v>261</v>
      </c>
      <c r="E98" s="15" t="s">
        <v>160</v>
      </c>
      <c r="F98" s="19">
        <v>10.499818579999999</v>
      </c>
      <c r="G98" s="19">
        <v>63.249848649999997</v>
      </c>
      <c r="H98" s="15">
        <v>0.7</v>
      </c>
      <c r="I98" s="15">
        <f t="shared" si="2"/>
        <v>14.844025288211773</v>
      </c>
      <c r="J98" s="30"/>
      <c r="K98" s="15" t="s">
        <v>32</v>
      </c>
      <c r="L98" s="15" t="s">
        <v>32</v>
      </c>
      <c r="M98" s="15" t="s">
        <v>32</v>
      </c>
      <c r="N98" s="24" t="s">
        <v>32</v>
      </c>
      <c r="O98" s="15" t="s">
        <v>32</v>
      </c>
      <c r="P98" s="15" t="s">
        <v>32</v>
      </c>
      <c r="Q98" s="30" t="s">
        <v>32</v>
      </c>
      <c r="R98" s="43">
        <v>20</v>
      </c>
      <c r="S98" s="28">
        <f t="shared" si="3"/>
        <v>1.3473434335821828</v>
      </c>
    </row>
    <row r="99" spans="1:19" ht="15" thickBot="1" x14ac:dyDescent="0.4">
      <c r="A99" s="74" t="s">
        <v>262</v>
      </c>
      <c r="B99" s="55" t="s">
        <v>263</v>
      </c>
      <c r="C99" s="56">
        <v>46209</v>
      </c>
      <c r="D99" s="58" t="s">
        <v>264</v>
      </c>
      <c r="E99" s="54" t="s">
        <v>160</v>
      </c>
      <c r="F99" s="82">
        <v>10.50868464</v>
      </c>
      <c r="G99" s="82">
        <v>63.250579520000002</v>
      </c>
      <c r="H99" s="54">
        <v>0.1</v>
      </c>
      <c r="I99" s="54">
        <f t="shared" si="2"/>
        <v>2.1205750411731104</v>
      </c>
      <c r="J99" s="55"/>
      <c r="K99" s="54" t="s">
        <v>32</v>
      </c>
      <c r="L99" s="54" t="s">
        <v>32</v>
      </c>
      <c r="M99" s="54" t="s">
        <v>32</v>
      </c>
      <c r="N99" s="87" t="s">
        <v>32</v>
      </c>
      <c r="O99" s="54" t="s">
        <v>32</v>
      </c>
      <c r="P99" s="54" t="s">
        <v>32</v>
      </c>
      <c r="Q99" s="55" t="s">
        <v>32</v>
      </c>
      <c r="R99" s="75">
        <v>14</v>
      </c>
      <c r="S99" s="76">
        <f t="shared" si="3"/>
        <v>6.6019828245526959</v>
      </c>
    </row>
    <row r="100" spans="1:19" x14ac:dyDescent="0.35">
      <c r="A100" s="81" t="s">
        <v>265</v>
      </c>
      <c r="B100" s="50" t="s">
        <v>266</v>
      </c>
      <c r="C100" s="51">
        <v>46211</v>
      </c>
      <c r="D100" s="53" t="s">
        <v>267</v>
      </c>
      <c r="E100" s="49" t="s">
        <v>268</v>
      </c>
      <c r="F100" s="85">
        <v>10.529168650000001</v>
      </c>
      <c r="G100" s="85">
        <v>63.402474980000001</v>
      </c>
      <c r="H100" s="49">
        <v>0.21410000000000001</v>
      </c>
      <c r="I100" s="49">
        <f t="shared" si="2"/>
        <v>4.5401511631516298</v>
      </c>
      <c r="J100" s="50"/>
      <c r="K100" s="49" t="s">
        <v>32</v>
      </c>
      <c r="L100" s="49" t="s">
        <v>32</v>
      </c>
      <c r="M100" s="49" t="s">
        <v>50</v>
      </c>
      <c r="N100" s="49" t="s">
        <v>32</v>
      </c>
      <c r="O100" s="49" t="s">
        <v>32</v>
      </c>
      <c r="P100" s="49" t="s">
        <v>32</v>
      </c>
      <c r="Q100" s="50" t="s">
        <v>50</v>
      </c>
      <c r="R100" s="42">
        <v>126</v>
      </c>
      <c r="S100" s="50">
        <f t="shared" si="3"/>
        <v>27.752379925723613</v>
      </c>
    </row>
    <row r="101" spans="1:19" x14ac:dyDescent="0.35">
      <c r="A101" s="29" t="s">
        <v>269</v>
      </c>
      <c r="B101" s="30" t="s">
        <v>270</v>
      </c>
      <c r="C101" s="16">
        <v>46211</v>
      </c>
      <c r="D101" s="21" t="s">
        <v>271</v>
      </c>
      <c r="E101" s="18" t="s">
        <v>268</v>
      </c>
      <c r="F101" s="19">
        <v>10.524886329999999</v>
      </c>
      <c r="G101" s="19">
        <v>63.399812730000001</v>
      </c>
      <c r="H101" s="15">
        <f>C6</f>
        <v>0.3</v>
      </c>
      <c r="I101" s="15">
        <f t="shared" si="2"/>
        <v>6.3617251235193315</v>
      </c>
      <c r="J101" s="30"/>
      <c r="K101" s="15" t="s">
        <v>50</v>
      </c>
      <c r="L101" s="15" t="s">
        <v>32</v>
      </c>
      <c r="M101" s="15" t="s">
        <v>50</v>
      </c>
      <c r="N101" s="24" t="s">
        <v>32</v>
      </c>
      <c r="O101" s="15" t="s">
        <v>32</v>
      </c>
      <c r="P101" s="15" t="s">
        <v>32</v>
      </c>
      <c r="Q101" s="30" t="s">
        <v>50</v>
      </c>
      <c r="R101" s="43">
        <v>417</v>
      </c>
      <c r="S101" s="28">
        <f t="shared" si="3"/>
        <v>65.548258043773188</v>
      </c>
    </row>
    <row r="102" spans="1:19" x14ac:dyDescent="0.35">
      <c r="A102" s="29" t="s">
        <v>272</v>
      </c>
      <c r="B102" s="30" t="s">
        <v>273</v>
      </c>
      <c r="C102" s="16">
        <v>46211</v>
      </c>
      <c r="D102" s="21" t="s">
        <v>274</v>
      </c>
      <c r="E102" s="15" t="s">
        <v>268</v>
      </c>
      <c r="F102" s="19">
        <v>10.52323696</v>
      </c>
      <c r="G102" s="19">
        <v>63.396199039999999</v>
      </c>
      <c r="H102" s="21">
        <f>C6</f>
        <v>0.3</v>
      </c>
      <c r="I102" s="15">
        <f t="shared" si="2"/>
        <v>6.3617251235193315</v>
      </c>
      <c r="J102" s="30"/>
      <c r="K102" s="15" t="s">
        <v>50</v>
      </c>
      <c r="L102" s="15" t="s">
        <v>32</v>
      </c>
      <c r="M102" s="15" t="s">
        <v>50</v>
      </c>
      <c r="N102" s="24" t="s">
        <v>32</v>
      </c>
      <c r="O102" s="15" t="s">
        <v>32</v>
      </c>
      <c r="P102" s="15" t="s">
        <v>32</v>
      </c>
      <c r="Q102" s="30" t="s">
        <v>50</v>
      </c>
      <c r="R102" s="43">
        <v>72</v>
      </c>
      <c r="S102" s="28">
        <f t="shared" si="3"/>
        <v>11.317684842090335</v>
      </c>
    </row>
    <row r="103" spans="1:19" x14ac:dyDescent="0.35">
      <c r="A103" s="29" t="s">
        <v>275</v>
      </c>
      <c r="B103" s="30" t="s">
        <v>276</v>
      </c>
      <c r="C103" s="16">
        <v>46211</v>
      </c>
      <c r="D103" s="21" t="s">
        <v>277</v>
      </c>
      <c r="E103" s="18" t="s">
        <v>268</v>
      </c>
      <c r="F103" s="19">
        <v>10.545634270000001</v>
      </c>
      <c r="G103" s="19">
        <v>63.396445829999998</v>
      </c>
      <c r="H103" s="15">
        <v>0.19</v>
      </c>
      <c r="I103" s="15">
        <f t="shared" si="2"/>
        <v>4.0290925782289095</v>
      </c>
      <c r="J103" s="30"/>
      <c r="K103" s="15" t="s">
        <v>32</v>
      </c>
      <c r="L103" s="15" t="s">
        <v>32</v>
      </c>
      <c r="M103" s="15" t="s">
        <v>32</v>
      </c>
      <c r="N103" s="24" t="s">
        <v>32</v>
      </c>
      <c r="O103" s="15" t="s">
        <v>32</v>
      </c>
      <c r="P103" s="15" t="s">
        <v>32</v>
      </c>
      <c r="Q103" s="30" t="s">
        <v>32</v>
      </c>
      <c r="R103" s="43">
        <v>26</v>
      </c>
      <c r="S103" s="28">
        <f t="shared" si="3"/>
        <v>6.4530659187357182</v>
      </c>
    </row>
    <row r="104" spans="1:19" x14ac:dyDescent="0.35">
      <c r="A104" s="29" t="s">
        <v>278</v>
      </c>
      <c r="B104" s="30" t="s">
        <v>279</v>
      </c>
      <c r="C104" s="16">
        <v>46211</v>
      </c>
      <c r="D104" s="21" t="s">
        <v>280</v>
      </c>
      <c r="E104" s="15" t="s">
        <v>268</v>
      </c>
      <c r="F104" s="19">
        <v>10.554006380000001</v>
      </c>
      <c r="G104" s="19">
        <v>63.388579470000003</v>
      </c>
      <c r="H104" s="21">
        <f>C6</f>
        <v>0.3</v>
      </c>
      <c r="I104" s="15">
        <f t="shared" si="2"/>
        <v>6.3617251235193315</v>
      </c>
      <c r="J104" s="30"/>
      <c r="K104" s="15" t="s">
        <v>50</v>
      </c>
      <c r="L104" s="15" t="s">
        <v>32</v>
      </c>
      <c r="M104" s="15" t="s">
        <v>50</v>
      </c>
      <c r="N104" s="24" t="s">
        <v>32</v>
      </c>
      <c r="O104" s="15" t="s">
        <v>32</v>
      </c>
      <c r="P104" s="15" t="s">
        <v>32</v>
      </c>
      <c r="Q104" s="30" t="s">
        <v>50</v>
      </c>
      <c r="R104" s="43">
        <v>264</v>
      </c>
      <c r="S104" s="28">
        <f t="shared" si="3"/>
        <v>41.49817775433123</v>
      </c>
    </row>
    <row r="105" spans="1:19" x14ac:dyDescent="0.35">
      <c r="A105" s="29" t="s">
        <v>281</v>
      </c>
      <c r="B105" s="30" t="s">
        <v>282</v>
      </c>
      <c r="C105" s="16">
        <v>46211</v>
      </c>
      <c r="D105" s="21" t="s">
        <v>283</v>
      </c>
      <c r="E105" s="18" t="s">
        <v>268</v>
      </c>
      <c r="F105" s="19">
        <v>10.566739500000001</v>
      </c>
      <c r="G105" s="19">
        <v>63.38702455</v>
      </c>
      <c r="H105" s="21">
        <f>C6</f>
        <v>0.3</v>
      </c>
      <c r="I105" s="15">
        <f t="shared" si="2"/>
        <v>6.3617251235193315</v>
      </c>
      <c r="J105" s="30"/>
      <c r="K105" s="15" t="s">
        <v>50</v>
      </c>
      <c r="L105" s="15" t="s">
        <v>32</v>
      </c>
      <c r="M105" s="15" t="s">
        <v>32</v>
      </c>
      <c r="N105" s="24" t="s">
        <v>32</v>
      </c>
      <c r="O105" s="15" t="s">
        <v>32</v>
      </c>
      <c r="P105" s="15" t="s">
        <v>32</v>
      </c>
      <c r="Q105" s="30" t="s">
        <v>32</v>
      </c>
      <c r="R105" s="43">
        <v>21</v>
      </c>
      <c r="S105" s="28">
        <f t="shared" si="3"/>
        <v>3.3009914122763475</v>
      </c>
    </row>
    <row r="106" spans="1:19" x14ac:dyDescent="0.35">
      <c r="A106" s="29" t="s">
        <v>284</v>
      </c>
      <c r="B106" s="30" t="s">
        <v>285</v>
      </c>
      <c r="C106" s="16">
        <v>46211</v>
      </c>
      <c r="D106" s="21" t="s">
        <v>286</v>
      </c>
      <c r="E106" s="15" t="s">
        <v>268</v>
      </c>
      <c r="F106" s="19">
        <v>10.593095119999999</v>
      </c>
      <c r="G106" s="19">
        <v>63.383213120000001</v>
      </c>
      <c r="H106" s="15">
        <v>0.14000000000000001</v>
      </c>
      <c r="I106" s="15">
        <f t="shared" si="2"/>
        <v>2.968805057642355</v>
      </c>
      <c r="J106" s="30"/>
      <c r="K106" s="15" t="s">
        <v>32</v>
      </c>
      <c r="L106" s="15" t="s">
        <v>32</v>
      </c>
      <c r="M106" s="15" t="s">
        <v>50</v>
      </c>
      <c r="N106" s="24" t="s">
        <v>32</v>
      </c>
      <c r="O106" s="15" t="s">
        <v>32</v>
      </c>
      <c r="P106" s="15" t="s">
        <v>32</v>
      </c>
      <c r="Q106" s="30" t="s">
        <v>50</v>
      </c>
      <c r="R106" s="43">
        <v>68</v>
      </c>
      <c r="S106" s="28">
        <f t="shared" si="3"/>
        <v>22.904838370897103</v>
      </c>
    </row>
    <row r="107" spans="1:19" x14ac:dyDescent="0.35">
      <c r="A107" s="29" t="s">
        <v>287</v>
      </c>
      <c r="B107" s="30" t="s">
        <v>288</v>
      </c>
      <c r="C107" s="16">
        <v>46211</v>
      </c>
      <c r="D107" s="21" t="s">
        <v>289</v>
      </c>
      <c r="E107" s="18" t="s">
        <v>268</v>
      </c>
      <c r="F107" s="19">
        <v>10.59799668</v>
      </c>
      <c r="G107" s="19">
        <v>63.377197350000003</v>
      </c>
      <c r="H107" s="15">
        <v>0.13689999999999999</v>
      </c>
      <c r="I107" s="15">
        <f t="shared" si="2"/>
        <v>2.9030672313659882</v>
      </c>
      <c r="J107" s="30"/>
      <c r="K107" s="15" t="s">
        <v>32</v>
      </c>
      <c r="L107" s="15" t="s">
        <v>32</v>
      </c>
      <c r="M107" s="15" t="s">
        <v>50</v>
      </c>
      <c r="N107" s="24" t="s">
        <v>32</v>
      </c>
      <c r="O107" s="15" t="s">
        <v>32</v>
      </c>
      <c r="P107" s="15" t="s">
        <v>32</v>
      </c>
      <c r="Q107" s="30" t="s">
        <v>50</v>
      </c>
      <c r="R107" s="43">
        <v>139</v>
      </c>
      <c r="S107" s="28">
        <f t="shared" si="3"/>
        <v>47.880393019556749</v>
      </c>
    </row>
    <row r="108" spans="1:19" x14ac:dyDescent="0.35">
      <c r="A108" s="29" t="s">
        <v>290</v>
      </c>
      <c r="B108" s="30" t="s">
        <v>291</v>
      </c>
      <c r="C108" s="16">
        <v>46211</v>
      </c>
      <c r="D108" s="21" t="s">
        <v>292</v>
      </c>
      <c r="E108" s="15" t="s">
        <v>268</v>
      </c>
      <c r="F108" s="19">
        <v>10.611444609999999</v>
      </c>
      <c r="G108" s="19">
        <v>63.373936870000001</v>
      </c>
      <c r="H108" s="15">
        <v>0.13689999999999999</v>
      </c>
      <c r="I108" s="15">
        <f t="shared" si="2"/>
        <v>2.9030672313659882</v>
      </c>
      <c r="J108" s="30"/>
      <c r="K108" s="15" t="s">
        <v>32</v>
      </c>
      <c r="L108" s="15" t="s">
        <v>32</v>
      </c>
      <c r="M108" s="15" t="s">
        <v>50</v>
      </c>
      <c r="N108" s="24" t="s">
        <v>32</v>
      </c>
      <c r="O108" s="15" t="s">
        <v>32</v>
      </c>
      <c r="P108" s="15" t="s">
        <v>32</v>
      </c>
      <c r="Q108" s="30" t="s">
        <v>50</v>
      </c>
      <c r="R108" s="43">
        <v>17</v>
      </c>
      <c r="S108" s="28">
        <f t="shared" si="3"/>
        <v>5.8558754052695301</v>
      </c>
    </row>
    <row r="109" spans="1:19" x14ac:dyDescent="0.35">
      <c r="A109" s="29" t="s">
        <v>293</v>
      </c>
      <c r="B109" s="30" t="s">
        <v>294</v>
      </c>
      <c r="C109" s="16">
        <v>46211</v>
      </c>
      <c r="D109" s="21" t="s">
        <v>295</v>
      </c>
      <c r="E109" s="18" t="s">
        <v>268</v>
      </c>
      <c r="F109" s="19">
        <v>10.62214511</v>
      </c>
      <c r="G109" s="19">
        <v>63.364182069999998</v>
      </c>
      <c r="H109" s="15">
        <v>0.09</v>
      </c>
      <c r="I109" s="15">
        <f t="shared" si="2"/>
        <v>1.9085175370557994</v>
      </c>
      <c r="J109" s="30"/>
      <c r="K109" s="15" t="s">
        <v>32</v>
      </c>
      <c r="L109" s="15" t="s">
        <v>32</v>
      </c>
      <c r="M109" s="15" t="s">
        <v>32</v>
      </c>
      <c r="N109" s="24" t="s">
        <v>32</v>
      </c>
      <c r="O109" s="15" t="s">
        <v>32</v>
      </c>
      <c r="P109" s="15" t="s">
        <v>32</v>
      </c>
      <c r="Q109" s="30" t="s">
        <v>32</v>
      </c>
      <c r="R109" s="43">
        <v>52</v>
      </c>
      <c r="S109" s="28">
        <f t="shared" si="3"/>
        <v>27.246278323550808</v>
      </c>
    </row>
    <row r="110" spans="1:19" x14ac:dyDescent="0.35">
      <c r="A110" s="29" t="s">
        <v>296</v>
      </c>
      <c r="B110" s="30" t="s">
        <v>297</v>
      </c>
      <c r="C110" s="16">
        <v>46211</v>
      </c>
      <c r="D110" s="21" t="s">
        <v>298</v>
      </c>
      <c r="E110" s="15" t="s">
        <v>268</v>
      </c>
      <c r="F110" s="19">
        <v>10.63881613</v>
      </c>
      <c r="G110" s="19">
        <v>63.355160730000001</v>
      </c>
      <c r="H110" s="15">
        <v>0.24</v>
      </c>
      <c r="I110" s="15">
        <f t="shared" si="2"/>
        <v>5.0893800988154654</v>
      </c>
      <c r="J110" s="30"/>
      <c r="K110" s="15" t="s">
        <v>32</v>
      </c>
      <c r="L110" s="15" t="s">
        <v>32</v>
      </c>
      <c r="M110" s="15" t="s">
        <v>50</v>
      </c>
      <c r="N110" s="24" t="s">
        <v>32</v>
      </c>
      <c r="O110" s="15" t="s">
        <v>32</v>
      </c>
      <c r="P110" s="15" t="s">
        <v>32</v>
      </c>
      <c r="Q110" s="30" t="s">
        <v>50</v>
      </c>
      <c r="R110" s="43">
        <v>40</v>
      </c>
      <c r="S110" s="28">
        <f t="shared" si="3"/>
        <v>7.859503362562732</v>
      </c>
    </row>
    <row r="111" spans="1:19" x14ac:dyDescent="0.35">
      <c r="A111" s="29" t="s">
        <v>299</v>
      </c>
      <c r="B111" s="30" t="s">
        <v>300</v>
      </c>
      <c r="C111" s="16">
        <v>46211</v>
      </c>
      <c r="D111" s="21" t="s">
        <v>301</v>
      </c>
      <c r="E111" s="18" t="s">
        <v>268</v>
      </c>
      <c r="F111" s="19">
        <v>10.64934132</v>
      </c>
      <c r="G111" s="19">
        <v>63.33844672</v>
      </c>
      <c r="H111" s="15">
        <v>7.0000000000000007E-2</v>
      </c>
      <c r="I111" s="15">
        <f t="shared" si="2"/>
        <v>1.4844025288211775</v>
      </c>
      <c r="J111" s="30"/>
      <c r="K111" s="15" t="s">
        <v>32</v>
      </c>
      <c r="L111" s="15" t="s">
        <v>32</v>
      </c>
      <c r="M111" s="15" t="s">
        <v>32</v>
      </c>
      <c r="N111" s="24" t="s">
        <v>32</v>
      </c>
      <c r="O111" s="15" t="s">
        <v>32</v>
      </c>
      <c r="P111" s="15" t="s">
        <v>32</v>
      </c>
      <c r="Q111" s="30" t="s">
        <v>32</v>
      </c>
      <c r="R111" s="43">
        <v>36</v>
      </c>
      <c r="S111" s="28">
        <f t="shared" si="3"/>
        <v>24.252181804479285</v>
      </c>
    </row>
    <row r="112" spans="1:19" x14ac:dyDescent="0.35">
      <c r="A112" s="29" t="s">
        <v>302</v>
      </c>
      <c r="B112" s="30" t="s">
        <v>303</v>
      </c>
      <c r="C112" s="16">
        <v>46211</v>
      </c>
      <c r="D112" s="21" t="s">
        <v>304</v>
      </c>
      <c r="E112" s="15" t="s">
        <v>268</v>
      </c>
      <c r="F112" s="19">
        <v>10.625625400000001</v>
      </c>
      <c r="G112" s="19">
        <v>63.338223419999998</v>
      </c>
      <c r="H112" s="15">
        <f>C6</f>
        <v>0.3</v>
      </c>
      <c r="I112" s="15">
        <f t="shared" si="2"/>
        <v>6.3617251235193315</v>
      </c>
      <c r="J112" s="30"/>
      <c r="K112" s="15" t="s">
        <v>50</v>
      </c>
      <c r="L112" s="15" t="s">
        <v>32</v>
      </c>
      <c r="M112" s="15" t="s">
        <v>50</v>
      </c>
      <c r="N112" s="24" t="s">
        <v>32</v>
      </c>
      <c r="O112" s="15" t="s">
        <v>32</v>
      </c>
      <c r="P112" s="15" t="s">
        <v>32</v>
      </c>
      <c r="Q112" s="30" t="s">
        <v>50</v>
      </c>
      <c r="R112" s="43">
        <v>561</v>
      </c>
      <c r="S112" s="28">
        <f t="shared" si="3"/>
        <v>88.183627727953862</v>
      </c>
    </row>
    <row r="113" spans="1:19" x14ac:dyDescent="0.35">
      <c r="A113" s="29" t="s">
        <v>305</v>
      </c>
      <c r="B113" s="30" t="s">
        <v>306</v>
      </c>
      <c r="C113" s="16">
        <v>46211</v>
      </c>
      <c r="D113" s="21" t="s">
        <v>307</v>
      </c>
      <c r="E113" s="18" t="s">
        <v>268</v>
      </c>
      <c r="F113" s="19">
        <v>10.58641093</v>
      </c>
      <c r="G113" s="19">
        <v>63.344876480000003</v>
      </c>
      <c r="H113" s="15">
        <f>C6</f>
        <v>0.3</v>
      </c>
      <c r="I113" s="15">
        <f t="shared" si="2"/>
        <v>6.3617251235193315</v>
      </c>
      <c r="J113" s="30"/>
      <c r="K113" s="15" t="s">
        <v>50</v>
      </c>
      <c r="L113" s="15" t="s">
        <v>32</v>
      </c>
      <c r="M113" s="15" t="s">
        <v>32</v>
      </c>
      <c r="N113" s="24" t="s">
        <v>32</v>
      </c>
      <c r="O113" s="15" t="s">
        <v>32</v>
      </c>
      <c r="P113" s="15" t="s">
        <v>32</v>
      </c>
      <c r="Q113" s="30" t="s">
        <v>32</v>
      </c>
      <c r="R113" s="43">
        <v>7</v>
      </c>
      <c r="S113" s="28">
        <f t="shared" si="3"/>
        <v>1.1003304707587824</v>
      </c>
    </row>
    <row r="114" spans="1:19" x14ac:dyDescent="0.35">
      <c r="A114" s="29" t="s">
        <v>308</v>
      </c>
      <c r="B114" s="30" t="s">
        <v>309</v>
      </c>
      <c r="C114" s="16">
        <v>46211</v>
      </c>
      <c r="D114" s="21" t="s">
        <v>310</v>
      </c>
      <c r="E114" s="15" t="s">
        <v>268</v>
      </c>
      <c r="F114" s="19">
        <v>10.563060480000001</v>
      </c>
      <c r="G114" s="19">
        <v>63.339462750000003</v>
      </c>
      <c r="H114" s="15">
        <f>C6</f>
        <v>0.3</v>
      </c>
      <c r="I114" s="15">
        <f t="shared" si="2"/>
        <v>6.3617251235193315</v>
      </c>
      <c r="J114" s="30"/>
      <c r="K114" s="15" t="s">
        <v>50</v>
      </c>
      <c r="L114" s="15" t="s">
        <v>32</v>
      </c>
      <c r="M114" s="15" t="s">
        <v>32</v>
      </c>
      <c r="N114" s="15" t="s">
        <v>32</v>
      </c>
      <c r="O114" s="15" t="s">
        <v>50</v>
      </c>
      <c r="P114" s="15" t="s">
        <v>32</v>
      </c>
      <c r="Q114" s="30" t="s">
        <v>50</v>
      </c>
      <c r="R114" s="43">
        <v>100</v>
      </c>
      <c r="S114" s="28">
        <f t="shared" si="3"/>
        <v>15.719006725125464</v>
      </c>
    </row>
    <row r="115" spans="1:19" x14ac:dyDescent="0.35">
      <c r="A115" s="29" t="s">
        <v>311</v>
      </c>
      <c r="B115" s="30" t="s">
        <v>312</v>
      </c>
      <c r="C115" s="16">
        <v>46211</v>
      </c>
      <c r="D115" s="21" t="s">
        <v>283</v>
      </c>
      <c r="E115" s="18" t="s">
        <v>268</v>
      </c>
      <c r="F115" s="19">
        <v>10.54983867</v>
      </c>
      <c r="G115" s="19">
        <v>63.344850970000003</v>
      </c>
      <c r="H115" s="15">
        <f>C6</f>
        <v>0.3</v>
      </c>
      <c r="I115" s="15">
        <f t="shared" si="2"/>
        <v>6.3617251235193315</v>
      </c>
      <c r="J115" s="30"/>
      <c r="K115" s="15" t="s">
        <v>50</v>
      </c>
      <c r="L115" s="15" t="s">
        <v>32</v>
      </c>
      <c r="M115" s="15" t="s">
        <v>50</v>
      </c>
      <c r="N115" s="15" t="s">
        <v>32</v>
      </c>
      <c r="O115" s="15" t="s">
        <v>32</v>
      </c>
      <c r="P115" s="15" t="s">
        <v>32</v>
      </c>
      <c r="Q115" s="30" t="s">
        <v>50</v>
      </c>
      <c r="R115" s="43">
        <v>56</v>
      </c>
      <c r="S115" s="28">
        <f t="shared" si="3"/>
        <v>8.8026437660702594</v>
      </c>
    </row>
    <row r="116" spans="1:19" x14ac:dyDescent="0.35">
      <c r="A116" s="29" t="s">
        <v>313</v>
      </c>
      <c r="B116" s="30" t="s">
        <v>314</v>
      </c>
      <c r="C116" s="16">
        <v>46211</v>
      </c>
      <c r="D116" s="21" t="s">
        <v>315</v>
      </c>
      <c r="E116" s="15" t="s">
        <v>268</v>
      </c>
      <c r="F116" s="19">
        <v>10.561909379999999</v>
      </c>
      <c r="G116" s="19">
        <v>63.361667879999999</v>
      </c>
      <c r="H116" s="21">
        <f>C6</f>
        <v>0.3</v>
      </c>
      <c r="I116" s="15">
        <f t="shared" si="2"/>
        <v>6.3617251235193315</v>
      </c>
      <c r="J116" s="30"/>
      <c r="K116" s="15" t="s">
        <v>50</v>
      </c>
      <c r="L116" s="15" t="s">
        <v>32</v>
      </c>
      <c r="M116" s="15" t="s">
        <v>32</v>
      </c>
      <c r="N116" s="15" t="s">
        <v>32</v>
      </c>
      <c r="O116" s="15" t="s">
        <v>32</v>
      </c>
      <c r="P116" s="15" t="s">
        <v>32</v>
      </c>
      <c r="Q116" s="30" t="s">
        <v>32</v>
      </c>
      <c r="R116" s="43">
        <v>157</v>
      </c>
      <c r="S116" s="28">
        <f t="shared" si="3"/>
        <v>24.678840558446979</v>
      </c>
    </row>
    <row r="117" spans="1:19" x14ac:dyDescent="0.35">
      <c r="A117" s="29" t="s">
        <v>316</v>
      </c>
      <c r="B117" s="30" t="s">
        <v>317</v>
      </c>
      <c r="C117" s="16">
        <v>46211</v>
      </c>
      <c r="D117" s="21" t="s">
        <v>318</v>
      </c>
      <c r="E117" s="18" t="s">
        <v>268</v>
      </c>
      <c r="F117" s="19">
        <v>10.549200770000001</v>
      </c>
      <c r="G117" s="19">
        <v>63.376750780000002</v>
      </c>
      <c r="H117" s="15">
        <f>C6</f>
        <v>0.3</v>
      </c>
      <c r="I117" s="15">
        <f t="shared" si="2"/>
        <v>6.3617251235193315</v>
      </c>
      <c r="J117" s="30"/>
      <c r="K117" s="15" t="s">
        <v>50</v>
      </c>
      <c r="L117" s="15" t="s">
        <v>32</v>
      </c>
      <c r="M117" s="15" t="s">
        <v>50</v>
      </c>
      <c r="N117" s="15" t="s">
        <v>32</v>
      </c>
      <c r="O117" s="15" t="s">
        <v>32</v>
      </c>
      <c r="P117" s="15" t="s">
        <v>32</v>
      </c>
      <c r="Q117" s="30" t="s">
        <v>50</v>
      </c>
      <c r="R117" s="43">
        <v>103</v>
      </c>
      <c r="S117" s="28">
        <f t="shared" si="3"/>
        <v>16.190576926879228</v>
      </c>
    </row>
    <row r="118" spans="1:19" x14ac:dyDescent="0.35">
      <c r="A118" s="29" t="s">
        <v>319</v>
      </c>
      <c r="B118" s="30" t="s">
        <v>320</v>
      </c>
      <c r="C118" s="16">
        <v>46211</v>
      </c>
      <c r="D118" s="21" t="s">
        <v>166</v>
      </c>
      <c r="E118" s="15" t="s">
        <v>268</v>
      </c>
      <c r="F118" s="19">
        <v>10.53980458</v>
      </c>
      <c r="G118" s="19">
        <v>63.369998619999997</v>
      </c>
      <c r="H118" s="15">
        <f>C6</f>
        <v>0.3</v>
      </c>
      <c r="I118" s="15">
        <f t="shared" si="2"/>
        <v>6.3617251235193315</v>
      </c>
      <c r="J118" s="30"/>
      <c r="K118" s="15" t="s">
        <v>50</v>
      </c>
      <c r="L118" s="15" t="s">
        <v>32</v>
      </c>
      <c r="M118" s="15" t="s">
        <v>50</v>
      </c>
      <c r="N118" s="15" t="s">
        <v>32</v>
      </c>
      <c r="O118" s="15" t="s">
        <v>32</v>
      </c>
      <c r="P118" s="15" t="s">
        <v>32</v>
      </c>
      <c r="Q118" s="30" t="s">
        <v>50</v>
      </c>
      <c r="R118" s="43">
        <v>132</v>
      </c>
      <c r="S118" s="28">
        <f t="shared" si="3"/>
        <v>20.749088877165615</v>
      </c>
    </row>
    <row r="119" spans="1:19" ht="15" thickBot="1" x14ac:dyDescent="0.4">
      <c r="A119" s="74" t="s">
        <v>321</v>
      </c>
      <c r="B119" s="55" t="s">
        <v>322</v>
      </c>
      <c r="C119" s="56">
        <v>46211</v>
      </c>
      <c r="D119" s="58" t="s">
        <v>323</v>
      </c>
      <c r="E119" s="86" t="s">
        <v>268</v>
      </c>
      <c r="F119" s="82">
        <v>10.54202403</v>
      </c>
      <c r="G119" s="82">
        <v>63.382319199999998</v>
      </c>
      <c r="H119" s="54">
        <f>C6</f>
        <v>0.3</v>
      </c>
      <c r="I119" s="54">
        <f t="shared" si="2"/>
        <v>6.3617251235193315</v>
      </c>
      <c r="J119" s="55"/>
      <c r="K119" s="54" t="s">
        <v>50</v>
      </c>
      <c r="L119" s="54" t="s">
        <v>32</v>
      </c>
      <c r="M119" s="54" t="s">
        <v>32</v>
      </c>
      <c r="N119" s="54" t="s">
        <v>32</v>
      </c>
      <c r="O119" s="54" t="s">
        <v>32</v>
      </c>
      <c r="P119" s="54" t="s">
        <v>32</v>
      </c>
      <c r="Q119" s="55" t="s">
        <v>32</v>
      </c>
      <c r="R119" s="75">
        <v>11</v>
      </c>
      <c r="S119" s="76">
        <f t="shared" si="3"/>
        <v>1.7290907397638011</v>
      </c>
    </row>
    <row r="120" spans="1:19" x14ac:dyDescent="0.35">
      <c r="A120" s="81" t="s">
        <v>324</v>
      </c>
      <c r="B120" s="50" t="s">
        <v>325</v>
      </c>
      <c r="C120" s="51">
        <v>46218</v>
      </c>
      <c r="D120" s="53" t="s">
        <v>326</v>
      </c>
      <c r="E120" s="49" t="s">
        <v>327</v>
      </c>
      <c r="F120" s="85">
        <v>10.36244973</v>
      </c>
      <c r="G120" s="85">
        <v>63.432516319999998</v>
      </c>
      <c r="H120" s="49">
        <f>C6</f>
        <v>0.3</v>
      </c>
      <c r="I120" s="49">
        <f t="shared" si="2"/>
        <v>6.3617251235193315</v>
      </c>
      <c r="J120" s="50"/>
      <c r="K120" s="49" t="s">
        <v>50</v>
      </c>
      <c r="L120" s="49" t="s">
        <v>32</v>
      </c>
      <c r="M120" s="49" t="s">
        <v>50</v>
      </c>
      <c r="N120" s="49" t="s">
        <v>32</v>
      </c>
      <c r="O120" s="49" t="s">
        <v>32</v>
      </c>
      <c r="P120" s="49" t="s">
        <v>32</v>
      </c>
      <c r="Q120" s="50" t="s">
        <v>50</v>
      </c>
      <c r="R120" s="42">
        <v>86</v>
      </c>
      <c r="S120" s="50">
        <f t="shared" si="3"/>
        <v>13.5183457836079</v>
      </c>
    </row>
    <row r="121" spans="1:19" x14ac:dyDescent="0.35">
      <c r="A121" s="29" t="s">
        <v>328</v>
      </c>
      <c r="B121" s="30" t="s">
        <v>329</v>
      </c>
      <c r="C121" s="16">
        <v>46218</v>
      </c>
      <c r="D121" s="21" t="s">
        <v>330</v>
      </c>
      <c r="E121" s="15" t="s">
        <v>327</v>
      </c>
      <c r="F121" s="19">
        <v>10.37426702</v>
      </c>
      <c r="G121" s="19">
        <v>63.432231119999997</v>
      </c>
      <c r="H121" s="15">
        <f>C6</f>
        <v>0.3</v>
      </c>
      <c r="I121" s="15">
        <f t="shared" si="2"/>
        <v>6.3617251235193315</v>
      </c>
      <c r="J121" s="30"/>
      <c r="K121" s="15" t="s">
        <v>50</v>
      </c>
      <c r="L121" s="15" t="s">
        <v>32</v>
      </c>
      <c r="M121" s="15" t="s">
        <v>32</v>
      </c>
      <c r="N121" s="15" t="s">
        <v>32</v>
      </c>
      <c r="O121" s="15" t="s">
        <v>32</v>
      </c>
      <c r="P121" s="15" t="s">
        <v>32</v>
      </c>
      <c r="Q121" s="30" t="s">
        <v>32</v>
      </c>
      <c r="R121" s="43">
        <v>146</v>
      </c>
      <c r="S121" s="28">
        <f t="shared" si="3"/>
        <v>22.949749818683177</v>
      </c>
    </row>
    <row r="122" spans="1:19" x14ac:dyDescent="0.35">
      <c r="A122" s="29" t="s">
        <v>331</v>
      </c>
      <c r="B122" s="30" t="s">
        <v>332</v>
      </c>
      <c r="C122" s="16">
        <v>46218</v>
      </c>
      <c r="D122" s="21" t="s">
        <v>333</v>
      </c>
      <c r="E122" s="15" t="s">
        <v>327</v>
      </c>
      <c r="F122" s="19">
        <v>10.375152780000001</v>
      </c>
      <c r="G122" s="19">
        <v>63.432249730000002</v>
      </c>
      <c r="H122" s="15">
        <f>C6</f>
        <v>0.3</v>
      </c>
      <c r="I122" s="15">
        <f t="shared" si="2"/>
        <v>6.3617251235193315</v>
      </c>
      <c r="J122" s="30"/>
      <c r="K122" s="15" t="s">
        <v>50</v>
      </c>
      <c r="L122" s="15" t="s">
        <v>32</v>
      </c>
      <c r="M122" s="15" t="s">
        <v>32</v>
      </c>
      <c r="N122" s="15" t="s">
        <v>32</v>
      </c>
      <c r="O122" s="15" t="s">
        <v>32</v>
      </c>
      <c r="P122" s="15" t="s">
        <v>32</v>
      </c>
      <c r="Q122" s="30" t="s">
        <v>32</v>
      </c>
      <c r="R122" s="43">
        <v>15</v>
      </c>
      <c r="S122" s="28">
        <f t="shared" si="3"/>
        <v>2.3578510087688196</v>
      </c>
    </row>
    <row r="123" spans="1:19" x14ac:dyDescent="0.35">
      <c r="A123" s="29" t="s">
        <v>334</v>
      </c>
      <c r="B123" s="30" t="s">
        <v>335</v>
      </c>
      <c r="C123" s="16">
        <v>46218</v>
      </c>
      <c r="D123" s="21" t="s">
        <v>336</v>
      </c>
      <c r="E123" s="15" t="s">
        <v>327</v>
      </c>
      <c r="F123" s="19">
        <v>10.375837949999999</v>
      </c>
      <c r="G123" s="19">
        <v>63.431746130000001</v>
      </c>
      <c r="H123" s="15">
        <f>C6</f>
        <v>0.3</v>
      </c>
      <c r="I123" s="15">
        <f t="shared" si="2"/>
        <v>6.3617251235193315</v>
      </c>
      <c r="J123" s="30"/>
      <c r="K123" s="15" t="s">
        <v>50</v>
      </c>
      <c r="L123" s="15" t="s">
        <v>32</v>
      </c>
      <c r="M123" s="15" t="s">
        <v>32</v>
      </c>
      <c r="N123" s="15" t="s">
        <v>32</v>
      </c>
      <c r="O123" s="15" t="s">
        <v>32</v>
      </c>
      <c r="P123" s="15" t="s">
        <v>32</v>
      </c>
      <c r="Q123" s="30" t="s">
        <v>50</v>
      </c>
      <c r="R123" s="43"/>
      <c r="S123" s="28">
        <f t="shared" si="3"/>
        <v>0</v>
      </c>
    </row>
    <row r="124" spans="1:19" x14ac:dyDescent="0.35">
      <c r="A124" s="29" t="s">
        <v>337</v>
      </c>
      <c r="B124" s="30" t="s">
        <v>338</v>
      </c>
      <c r="C124" s="16">
        <v>46218</v>
      </c>
      <c r="D124" s="21" t="s">
        <v>339</v>
      </c>
      <c r="E124" s="15" t="s">
        <v>327</v>
      </c>
      <c r="F124" s="19">
        <v>10.392534830000001</v>
      </c>
      <c r="G124" s="19">
        <v>63.434098779999999</v>
      </c>
      <c r="H124" s="15">
        <f>C6</f>
        <v>0.3</v>
      </c>
      <c r="I124" s="15">
        <f t="shared" si="2"/>
        <v>6.3617251235193315</v>
      </c>
      <c r="J124" s="30"/>
      <c r="K124" s="15" t="s">
        <v>50</v>
      </c>
      <c r="L124" s="15" t="s">
        <v>32</v>
      </c>
      <c r="M124" s="15" t="s">
        <v>50</v>
      </c>
      <c r="N124" s="15" t="s">
        <v>32</v>
      </c>
      <c r="O124" s="15" t="s">
        <v>32</v>
      </c>
      <c r="P124" s="15" t="s">
        <v>32</v>
      </c>
      <c r="Q124" s="30" t="s">
        <v>50</v>
      </c>
      <c r="R124" s="43">
        <v>31</v>
      </c>
      <c r="S124" s="28">
        <f t="shared" si="3"/>
        <v>4.8728920847888944</v>
      </c>
    </row>
    <row r="125" spans="1:19" x14ac:dyDescent="0.35">
      <c r="A125" s="29" t="s">
        <v>340</v>
      </c>
      <c r="B125" s="30" t="s">
        <v>341</v>
      </c>
      <c r="C125" s="16">
        <v>46218</v>
      </c>
      <c r="D125" s="21" t="s">
        <v>342</v>
      </c>
      <c r="E125" s="15" t="s">
        <v>327</v>
      </c>
      <c r="F125" s="19">
        <v>10.398258370000001</v>
      </c>
      <c r="G125" s="19">
        <v>63.435740129999999</v>
      </c>
      <c r="H125" s="15">
        <f>C6</f>
        <v>0.3</v>
      </c>
      <c r="I125" s="15">
        <f t="shared" si="2"/>
        <v>6.3617251235193315</v>
      </c>
      <c r="J125" s="30"/>
      <c r="K125" s="15" t="s">
        <v>50</v>
      </c>
      <c r="L125" s="15" t="s">
        <v>32</v>
      </c>
      <c r="M125" s="15" t="s">
        <v>32</v>
      </c>
      <c r="N125" s="15" t="s">
        <v>32</v>
      </c>
      <c r="O125" s="15" t="s">
        <v>32</v>
      </c>
      <c r="P125" s="15" t="s">
        <v>32</v>
      </c>
      <c r="Q125" s="30" t="s">
        <v>32</v>
      </c>
      <c r="R125" s="43">
        <v>83</v>
      </c>
      <c r="S125" s="28">
        <f t="shared" si="3"/>
        <v>13.046775581854135</v>
      </c>
    </row>
    <row r="126" spans="1:19" x14ac:dyDescent="0.35">
      <c r="A126" s="29" t="s">
        <v>343</v>
      </c>
      <c r="B126" s="30" t="s">
        <v>344</v>
      </c>
      <c r="C126" s="16">
        <v>46218</v>
      </c>
      <c r="D126" s="21" t="s">
        <v>345</v>
      </c>
      <c r="E126" s="15" t="s">
        <v>327</v>
      </c>
      <c r="F126" s="19">
        <v>10.39811808</v>
      </c>
      <c r="G126" s="19">
        <v>63.43875637</v>
      </c>
      <c r="H126" s="15">
        <f>C6</f>
        <v>0.3</v>
      </c>
      <c r="I126" s="15">
        <f t="shared" si="2"/>
        <v>6.3617251235193315</v>
      </c>
      <c r="J126" s="30"/>
      <c r="K126" s="15" t="s">
        <v>50</v>
      </c>
      <c r="L126" s="15" t="s">
        <v>32</v>
      </c>
      <c r="M126" s="15" t="s">
        <v>32</v>
      </c>
      <c r="N126" s="15" t="s">
        <v>32</v>
      </c>
      <c r="O126" s="15" t="s">
        <v>32</v>
      </c>
      <c r="P126" s="15" t="s">
        <v>32</v>
      </c>
      <c r="Q126" s="30" t="s">
        <v>32</v>
      </c>
      <c r="R126" s="43">
        <v>47</v>
      </c>
      <c r="S126" s="28">
        <f t="shared" si="3"/>
        <v>7.3879331608089682</v>
      </c>
    </row>
    <row r="127" spans="1:19" x14ac:dyDescent="0.35">
      <c r="A127" s="29" t="s">
        <v>346</v>
      </c>
      <c r="B127" s="30" t="s">
        <v>347</v>
      </c>
      <c r="C127" s="16">
        <v>46218</v>
      </c>
      <c r="D127" s="21" t="s">
        <v>348</v>
      </c>
      <c r="E127" s="15" t="s">
        <v>327</v>
      </c>
      <c r="F127" s="19">
        <v>10.40089678</v>
      </c>
      <c r="G127" s="19">
        <v>63.439496650000002</v>
      </c>
      <c r="H127" s="15">
        <f>C6</f>
        <v>0.3</v>
      </c>
      <c r="I127" s="15">
        <f t="shared" si="2"/>
        <v>6.3617251235193315</v>
      </c>
      <c r="J127" s="30"/>
      <c r="K127" s="15" t="s">
        <v>50</v>
      </c>
      <c r="L127" s="15" t="s">
        <v>32</v>
      </c>
      <c r="M127" s="15" t="s">
        <v>32</v>
      </c>
      <c r="N127" s="15" t="s">
        <v>50</v>
      </c>
      <c r="O127" s="15" t="s">
        <v>32</v>
      </c>
      <c r="P127" s="15" t="s">
        <v>32</v>
      </c>
      <c r="Q127" s="30" t="s">
        <v>50</v>
      </c>
      <c r="R127" s="43">
        <v>72</v>
      </c>
      <c r="S127" s="28">
        <f t="shared" si="3"/>
        <v>11.317684842090335</v>
      </c>
    </row>
    <row r="128" spans="1:19" x14ac:dyDescent="0.35">
      <c r="A128" s="29" t="s">
        <v>349</v>
      </c>
      <c r="B128" s="30" t="s">
        <v>350</v>
      </c>
      <c r="C128" s="16">
        <v>46218</v>
      </c>
      <c r="D128" s="21" t="s">
        <v>351</v>
      </c>
      <c r="E128" s="15" t="s">
        <v>327</v>
      </c>
      <c r="F128" s="19">
        <v>10.4019618</v>
      </c>
      <c r="G128" s="19">
        <v>63.441692799999998</v>
      </c>
      <c r="H128" s="21">
        <f>C6</f>
        <v>0.3</v>
      </c>
      <c r="I128" s="15">
        <f t="shared" si="2"/>
        <v>6.3617251235193315</v>
      </c>
      <c r="J128" s="30"/>
      <c r="K128" s="15" t="s">
        <v>50</v>
      </c>
      <c r="L128" s="15" t="s">
        <v>32</v>
      </c>
      <c r="M128" s="15" t="s">
        <v>32</v>
      </c>
      <c r="N128" s="15" t="s">
        <v>32</v>
      </c>
      <c r="O128" s="15" t="s">
        <v>32</v>
      </c>
      <c r="P128" s="15" t="s">
        <v>32</v>
      </c>
      <c r="Q128" s="30" t="s">
        <v>32</v>
      </c>
      <c r="R128" s="43">
        <v>89</v>
      </c>
      <c r="S128" s="28">
        <f t="shared" si="3"/>
        <v>13.989915985361664</v>
      </c>
    </row>
    <row r="129" spans="1:19" ht="15" thickBot="1" x14ac:dyDescent="0.4">
      <c r="A129" s="74" t="s">
        <v>352</v>
      </c>
      <c r="B129" s="55" t="s">
        <v>353</v>
      </c>
      <c r="C129" s="56">
        <v>46218</v>
      </c>
      <c r="D129" s="58" t="s">
        <v>354</v>
      </c>
      <c r="E129" s="54" t="s">
        <v>327</v>
      </c>
      <c r="F129" s="82">
        <v>10.42404183</v>
      </c>
      <c r="G129" s="82">
        <v>63.440735629999999</v>
      </c>
      <c r="H129" s="54">
        <f>C6</f>
        <v>0.3</v>
      </c>
      <c r="I129" s="54">
        <f t="shared" si="2"/>
        <v>6.3617251235193315</v>
      </c>
      <c r="J129" s="55"/>
      <c r="K129" s="54" t="s">
        <v>50</v>
      </c>
      <c r="L129" s="54" t="s">
        <v>32</v>
      </c>
      <c r="M129" s="54" t="s">
        <v>32</v>
      </c>
      <c r="N129" s="54" t="s">
        <v>32</v>
      </c>
      <c r="O129" s="54" t="s">
        <v>32</v>
      </c>
      <c r="P129" s="54" t="s">
        <v>32</v>
      </c>
      <c r="Q129" s="55" t="s">
        <v>32</v>
      </c>
      <c r="R129" s="75">
        <v>4</v>
      </c>
      <c r="S129" s="76">
        <f t="shared" si="3"/>
        <v>0.62876026900501858</v>
      </c>
    </row>
    <row r="130" spans="1:19" x14ac:dyDescent="0.35">
      <c r="A130" s="81" t="s">
        <v>355</v>
      </c>
      <c r="B130" s="50" t="s">
        <v>356</v>
      </c>
      <c r="C130" s="51">
        <v>46218</v>
      </c>
      <c r="D130" s="53" t="s">
        <v>357</v>
      </c>
      <c r="E130" s="49" t="s">
        <v>358</v>
      </c>
      <c r="F130" s="85">
        <v>10.424777280000001</v>
      </c>
      <c r="G130" s="85">
        <v>63.442041699999997</v>
      </c>
      <c r="H130" s="49">
        <f>C6</f>
        <v>0.3</v>
      </c>
      <c r="I130" s="49">
        <f t="shared" si="2"/>
        <v>6.3617251235193315</v>
      </c>
      <c r="J130" s="50"/>
      <c r="K130" s="49" t="s">
        <v>50</v>
      </c>
      <c r="L130" s="49" t="s">
        <v>32</v>
      </c>
      <c r="M130" s="49" t="s">
        <v>32</v>
      </c>
      <c r="N130" s="49" t="s">
        <v>32</v>
      </c>
      <c r="O130" s="49" t="s">
        <v>32</v>
      </c>
      <c r="P130" s="49" t="s">
        <v>32</v>
      </c>
      <c r="Q130" s="50" t="s">
        <v>32</v>
      </c>
      <c r="R130" s="42">
        <v>30</v>
      </c>
      <c r="S130" s="50">
        <f>R130/I130</f>
        <v>4.7157020175376392</v>
      </c>
    </row>
    <row r="131" spans="1:19" x14ac:dyDescent="0.35">
      <c r="A131" s="29" t="s">
        <v>359</v>
      </c>
      <c r="B131" s="30" t="s">
        <v>360</v>
      </c>
      <c r="C131" s="16">
        <v>46218</v>
      </c>
      <c r="D131" s="21"/>
      <c r="E131" s="15" t="s">
        <v>361</v>
      </c>
      <c r="F131" s="15"/>
      <c r="G131" s="15"/>
      <c r="H131" s="15">
        <f>C6</f>
        <v>0.3</v>
      </c>
      <c r="I131" s="15">
        <f t="shared" si="2"/>
        <v>6.3617251235193315</v>
      </c>
      <c r="J131" s="30"/>
      <c r="K131" s="15" t="s">
        <v>50</v>
      </c>
      <c r="L131" s="15" t="s">
        <v>32</v>
      </c>
      <c r="M131" s="15" t="s">
        <v>32</v>
      </c>
      <c r="N131" s="15" t="s">
        <v>32</v>
      </c>
      <c r="O131" s="15" t="s">
        <v>50</v>
      </c>
      <c r="P131" s="15" t="s">
        <v>32</v>
      </c>
      <c r="Q131" s="30" t="s">
        <v>50</v>
      </c>
      <c r="R131" s="43">
        <v>33</v>
      </c>
      <c r="S131" s="28">
        <f t="shared" si="3"/>
        <v>5.1872722192914038</v>
      </c>
    </row>
    <row r="132" spans="1:19" x14ac:dyDescent="0.35">
      <c r="A132" s="29" t="s">
        <v>362</v>
      </c>
      <c r="B132" s="30" t="s">
        <v>363</v>
      </c>
      <c r="C132" s="16">
        <v>46218</v>
      </c>
      <c r="D132" s="21" t="s">
        <v>364</v>
      </c>
      <c r="E132" s="18" t="s">
        <v>361</v>
      </c>
      <c r="F132" s="19">
        <v>10.42729198</v>
      </c>
      <c r="G132" s="19">
        <v>63.448583030000002</v>
      </c>
      <c r="H132" s="15">
        <f>C6</f>
        <v>0.3</v>
      </c>
      <c r="I132" s="15">
        <f t="shared" si="2"/>
        <v>6.3617251235193315</v>
      </c>
      <c r="J132" s="30"/>
      <c r="K132" s="15" t="s">
        <v>50</v>
      </c>
      <c r="L132" s="15" t="s">
        <v>32</v>
      </c>
      <c r="M132" s="15" t="s">
        <v>50</v>
      </c>
      <c r="N132" s="15" t="s">
        <v>32</v>
      </c>
      <c r="O132" s="15" t="s">
        <v>32</v>
      </c>
      <c r="P132" s="15" t="s">
        <v>32</v>
      </c>
      <c r="Q132" s="30" t="s">
        <v>50</v>
      </c>
      <c r="R132" s="43">
        <v>124</v>
      </c>
      <c r="S132" s="28">
        <f t="shared" si="3"/>
        <v>19.491568339155577</v>
      </c>
    </row>
    <row r="133" spans="1:19" x14ac:dyDescent="0.35">
      <c r="A133" s="29" t="s">
        <v>365</v>
      </c>
      <c r="B133" s="30" t="s">
        <v>366</v>
      </c>
      <c r="C133" s="16">
        <v>46218</v>
      </c>
      <c r="D133" s="21" t="s">
        <v>367</v>
      </c>
      <c r="E133" s="18" t="s">
        <v>361</v>
      </c>
      <c r="F133" s="19">
        <v>10.431434429999999</v>
      </c>
      <c r="G133" s="19">
        <v>63.449321349999998</v>
      </c>
      <c r="H133" s="15">
        <f>C6</f>
        <v>0.3</v>
      </c>
      <c r="I133" s="15">
        <f t="shared" si="2"/>
        <v>6.3617251235193315</v>
      </c>
      <c r="J133" s="30"/>
      <c r="K133" s="15" t="s">
        <v>50</v>
      </c>
      <c r="L133" s="15" t="s">
        <v>32</v>
      </c>
      <c r="M133" s="15" t="s">
        <v>32</v>
      </c>
      <c r="N133" s="15" t="s">
        <v>32</v>
      </c>
      <c r="O133" s="15" t="s">
        <v>32</v>
      </c>
      <c r="P133" s="15" t="s">
        <v>32</v>
      </c>
      <c r="Q133" s="30" t="s">
        <v>32</v>
      </c>
      <c r="R133" s="43">
        <v>39</v>
      </c>
      <c r="S133" s="28">
        <f t="shared" si="3"/>
        <v>6.1304126227989313</v>
      </c>
    </row>
    <row r="134" spans="1:19" x14ac:dyDescent="0.35">
      <c r="A134" s="29" t="s">
        <v>368</v>
      </c>
      <c r="B134" s="30" t="s">
        <v>369</v>
      </c>
      <c r="C134" s="16">
        <v>46218</v>
      </c>
      <c r="D134" s="21" t="s">
        <v>370</v>
      </c>
      <c r="E134" s="15" t="s">
        <v>361</v>
      </c>
      <c r="F134" s="19">
        <v>10.433859999999999</v>
      </c>
      <c r="G134" s="19">
        <v>63.450749999999999</v>
      </c>
      <c r="H134" s="15">
        <f>C6</f>
        <v>0.3</v>
      </c>
      <c r="I134" s="15">
        <f t="shared" si="2"/>
        <v>6.3617251235193315</v>
      </c>
      <c r="J134" s="30"/>
      <c r="K134" s="15" t="s">
        <v>50</v>
      </c>
      <c r="L134" s="15" t="s">
        <v>32</v>
      </c>
      <c r="M134" s="15" t="s">
        <v>32</v>
      </c>
      <c r="N134" s="15" t="s">
        <v>32</v>
      </c>
      <c r="O134" s="15" t="s">
        <v>32</v>
      </c>
      <c r="P134" s="15" t="s">
        <v>32</v>
      </c>
      <c r="Q134" s="30" t="s">
        <v>32</v>
      </c>
      <c r="R134" s="43">
        <v>96</v>
      </c>
      <c r="S134" s="28">
        <f t="shared" si="3"/>
        <v>15.090246456120447</v>
      </c>
    </row>
    <row r="135" spans="1:19" x14ac:dyDescent="0.35">
      <c r="A135" s="29" t="s">
        <v>371</v>
      </c>
      <c r="B135" s="30" t="s">
        <v>372</v>
      </c>
      <c r="C135" s="16">
        <v>46218</v>
      </c>
      <c r="D135" s="21" t="s">
        <v>373</v>
      </c>
      <c r="E135" s="15" t="s">
        <v>374</v>
      </c>
      <c r="F135" s="19">
        <v>10.31763447</v>
      </c>
      <c r="G135" s="19">
        <v>63.394631930000003</v>
      </c>
      <c r="H135" s="15">
        <f>C6</f>
        <v>0.3</v>
      </c>
      <c r="I135" s="15">
        <f t="shared" si="2"/>
        <v>6.3617251235193315</v>
      </c>
      <c r="J135" s="30"/>
      <c r="K135" s="15" t="s">
        <v>50</v>
      </c>
      <c r="L135" s="15" t="s">
        <v>32</v>
      </c>
      <c r="M135" s="15" t="s">
        <v>32</v>
      </c>
      <c r="N135" s="15" t="s">
        <v>32</v>
      </c>
      <c r="O135" s="15" t="s">
        <v>32</v>
      </c>
      <c r="P135" s="15" t="s">
        <v>32</v>
      </c>
      <c r="Q135" s="30" t="s">
        <v>32</v>
      </c>
      <c r="R135" s="43">
        <v>25</v>
      </c>
      <c r="S135" s="28">
        <f t="shared" si="3"/>
        <v>3.929751681281366</v>
      </c>
    </row>
    <row r="136" spans="1:19" x14ac:dyDescent="0.35">
      <c r="A136" s="29" t="s">
        <v>375</v>
      </c>
      <c r="B136" s="30" t="s">
        <v>376</v>
      </c>
      <c r="C136" s="16">
        <v>46218</v>
      </c>
      <c r="D136" s="21" t="s">
        <v>377</v>
      </c>
      <c r="E136" s="18" t="s">
        <v>374</v>
      </c>
      <c r="F136" s="19">
        <v>10.323191080000001</v>
      </c>
      <c r="G136" s="19">
        <v>63.39474036</v>
      </c>
      <c r="H136" s="15">
        <f>C6</f>
        <v>0.3</v>
      </c>
      <c r="I136" s="15">
        <f t="shared" si="2"/>
        <v>6.3617251235193315</v>
      </c>
      <c r="J136" s="30"/>
      <c r="K136" s="15" t="s">
        <v>50</v>
      </c>
      <c r="L136" s="15" t="s">
        <v>32</v>
      </c>
      <c r="M136" s="15" t="s">
        <v>32</v>
      </c>
      <c r="N136" s="15" t="s">
        <v>32</v>
      </c>
      <c r="O136" s="15" t="s">
        <v>32</v>
      </c>
      <c r="P136" s="15" t="s">
        <v>32</v>
      </c>
      <c r="Q136" s="30" t="s">
        <v>32</v>
      </c>
      <c r="R136" s="43">
        <v>19</v>
      </c>
      <c r="S136" s="28">
        <f t="shared" si="3"/>
        <v>2.9866112777738385</v>
      </c>
    </row>
    <row r="137" spans="1:19" x14ac:dyDescent="0.35">
      <c r="A137" s="29" t="s">
        <v>378</v>
      </c>
      <c r="B137" s="30" t="s">
        <v>379</v>
      </c>
      <c r="C137" s="16">
        <v>46218</v>
      </c>
      <c r="D137" s="21" t="s">
        <v>380</v>
      </c>
      <c r="E137" s="18" t="s">
        <v>374</v>
      </c>
      <c r="F137" s="19">
        <v>10.320657750000001</v>
      </c>
      <c r="G137" s="19">
        <v>63.393134699999997</v>
      </c>
      <c r="H137" s="15">
        <f>C6</f>
        <v>0.3</v>
      </c>
      <c r="I137" s="15">
        <f t="shared" si="2"/>
        <v>6.3617251235193315</v>
      </c>
      <c r="J137" s="30"/>
      <c r="K137" s="15" t="s">
        <v>50</v>
      </c>
      <c r="L137" s="15" t="s">
        <v>32</v>
      </c>
      <c r="M137" s="15" t="s">
        <v>32</v>
      </c>
      <c r="N137" s="15" t="s">
        <v>32</v>
      </c>
      <c r="O137" s="15" t="s">
        <v>50</v>
      </c>
      <c r="P137" s="15" t="s">
        <v>32</v>
      </c>
      <c r="Q137" s="30" t="s">
        <v>50</v>
      </c>
      <c r="R137" s="43">
        <v>25</v>
      </c>
      <c r="S137" s="28">
        <f t="shared" si="3"/>
        <v>3.929751681281366</v>
      </c>
    </row>
    <row r="138" spans="1:19" x14ac:dyDescent="0.35">
      <c r="A138" s="29" t="s">
        <v>381</v>
      </c>
      <c r="B138" s="30" t="s">
        <v>382</v>
      </c>
      <c r="C138" s="16">
        <v>46218</v>
      </c>
      <c r="D138" s="21" t="s">
        <v>383</v>
      </c>
      <c r="E138" s="15" t="s">
        <v>384</v>
      </c>
      <c r="F138" s="19">
        <v>10.31489099</v>
      </c>
      <c r="G138" s="19">
        <v>63.401763150000001</v>
      </c>
      <c r="H138" s="15">
        <f>C6</f>
        <v>0.3</v>
      </c>
      <c r="I138" s="15">
        <f t="shared" si="2"/>
        <v>6.3617251235193315</v>
      </c>
      <c r="J138" s="30"/>
      <c r="K138" s="15" t="s">
        <v>50</v>
      </c>
      <c r="L138" s="15" t="s">
        <v>32</v>
      </c>
      <c r="M138" s="15" t="s">
        <v>32</v>
      </c>
      <c r="N138" s="15" t="s">
        <v>32</v>
      </c>
      <c r="O138" s="15" t="s">
        <v>32</v>
      </c>
      <c r="P138" s="15" t="s">
        <v>32</v>
      </c>
      <c r="Q138" s="30" t="s">
        <v>32</v>
      </c>
      <c r="R138" s="43">
        <v>279</v>
      </c>
      <c r="S138" s="28">
        <f t="shared" si="3"/>
        <v>43.856028763100049</v>
      </c>
    </row>
    <row r="139" spans="1:19" x14ac:dyDescent="0.35">
      <c r="A139" s="29" t="s">
        <v>385</v>
      </c>
      <c r="B139" s="30" t="s">
        <v>386</v>
      </c>
      <c r="C139" s="16">
        <v>46218</v>
      </c>
      <c r="D139" s="21" t="s">
        <v>387</v>
      </c>
      <c r="E139" s="15" t="s">
        <v>384</v>
      </c>
      <c r="F139" s="19">
        <v>10.316762170000001</v>
      </c>
      <c r="G139" s="19">
        <v>63.401882389999997</v>
      </c>
      <c r="H139" s="15">
        <f>C6</f>
        <v>0.3</v>
      </c>
      <c r="I139" s="15">
        <f t="shared" si="2"/>
        <v>6.3617251235193315</v>
      </c>
      <c r="J139" s="30"/>
      <c r="K139" s="15" t="s">
        <v>50</v>
      </c>
      <c r="L139" s="15" t="s">
        <v>32</v>
      </c>
      <c r="M139" s="15" t="s">
        <v>32</v>
      </c>
      <c r="N139" s="15" t="s">
        <v>32</v>
      </c>
      <c r="O139" s="15" t="s">
        <v>32</v>
      </c>
      <c r="P139" s="15" t="s">
        <v>32</v>
      </c>
      <c r="Q139" s="30" t="s">
        <v>32</v>
      </c>
      <c r="R139" s="43">
        <v>146</v>
      </c>
      <c r="S139" s="28">
        <f t="shared" si="3"/>
        <v>22.949749818683177</v>
      </c>
    </row>
    <row r="140" spans="1:19" x14ac:dyDescent="0.35">
      <c r="A140" s="29" t="s">
        <v>388</v>
      </c>
      <c r="B140" s="30" t="s">
        <v>389</v>
      </c>
      <c r="C140" s="16">
        <v>46218</v>
      </c>
      <c r="D140" s="21" t="s">
        <v>390</v>
      </c>
      <c r="E140" s="15" t="s">
        <v>384</v>
      </c>
      <c r="F140" s="19">
        <v>10.32143408</v>
      </c>
      <c r="G140" s="19">
        <v>63.400048769999998</v>
      </c>
      <c r="H140" s="15">
        <f>C6</f>
        <v>0.3</v>
      </c>
      <c r="I140" s="15">
        <f t="shared" ref="I140:I155" si="4">($C$4*H140)*$C$5</f>
        <v>6.3617251235193315</v>
      </c>
      <c r="J140" s="30"/>
      <c r="K140" s="15" t="s">
        <v>50</v>
      </c>
      <c r="L140" s="15" t="s">
        <v>32</v>
      </c>
      <c r="M140" s="15" t="s">
        <v>50</v>
      </c>
      <c r="N140" s="15" t="s">
        <v>32</v>
      </c>
      <c r="O140" s="15" t="s">
        <v>32</v>
      </c>
      <c r="P140" s="15" t="s">
        <v>32</v>
      </c>
      <c r="Q140" s="30" t="s">
        <v>50</v>
      </c>
      <c r="R140" s="43">
        <v>1889</v>
      </c>
      <c r="S140" s="28">
        <f t="shared" ref="S140:S177" si="5">R140/I140</f>
        <v>296.93203703762003</v>
      </c>
    </row>
    <row r="141" spans="1:19" x14ac:dyDescent="0.35">
      <c r="A141" s="29" t="s">
        <v>391</v>
      </c>
      <c r="B141" s="30" t="s">
        <v>392</v>
      </c>
      <c r="C141" s="16">
        <v>46218</v>
      </c>
      <c r="D141" s="21" t="s">
        <v>393</v>
      </c>
      <c r="E141" s="15" t="s">
        <v>394</v>
      </c>
      <c r="F141" s="19">
        <v>10.341418559999999</v>
      </c>
      <c r="G141" s="19">
        <v>63.403109200000003</v>
      </c>
      <c r="H141" s="15">
        <f>C6</f>
        <v>0.3</v>
      </c>
      <c r="I141" s="15">
        <f t="shared" si="4"/>
        <v>6.3617251235193315</v>
      </c>
      <c r="J141" s="30"/>
      <c r="K141" s="15" t="s">
        <v>50</v>
      </c>
      <c r="L141" s="15" t="s">
        <v>32</v>
      </c>
      <c r="M141" s="15" t="s">
        <v>32</v>
      </c>
      <c r="N141" s="15" t="s">
        <v>32</v>
      </c>
      <c r="O141" s="15" t="s">
        <v>32</v>
      </c>
      <c r="P141" s="15" t="s">
        <v>32</v>
      </c>
      <c r="Q141" s="30" t="s">
        <v>32</v>
      </c>
      <c r="R141" s="43">
        <v>107</v>
      </c>
      <c r="S141" s="28">
        <f t="shared" si="5"/>
        <v>16.819337195884248</v>
      </c>
    </row>
    <row r="142" spans="1:19" x14ac:dyDescent="0.35">
      <c r="A142" s="29" t="s">
        <v>395</v>
      </c>
      <c r="B142" s="30" t="s">
        <v>396</v>
      </c>
      <c r="C142" s="16">
        <v>46218</v>
      </c>
      <c r="D142" s="21" t="s">
        <v>283</v>
      </c>
      <c r="E142" s="18" t="s">
        <v>394</v>
      </c>
      <c r="F142" s="19">
        <v>10.343950380000001</v>
      </c>
      <c r="G142" s="19">
        <v>63.405896570000003</v>
      </c>
      <c r="H142" s="15">
        <f>C6</f>
        <v>0.3</v>
      </c>
      <c r="I142" s="15">
        <f t="shared" si="4"/>
        <v>6.3617251235193315</v>
      </c>
      <c r="J142" s="30"/>
      <c r="K142" s="15" t="s">
        <v>50</v>
      </c>
      <c r="L142" s="15" t="s">
        <v>32</v>
      </c>
      <c r="M142" s="15" t="s">
        <v>32</v>
      </c>
      <c r="N142" s="15" t="s">
        <v>32</v>
      </c>
      <c r="O142" s="15" t="s">
        <v>32</v>
      </c>
      <c r="P142" s="15" t="s">
        <v>32</v>
      </c>
      <c r="Q142" s="30" t="s">
        <v>32</v>
      </c>
      <c r="R142" s="43">
        <v>4</v>
      </c>
      <c r="S142" s="28">
        <f t="shared" si="5"/>
        <v>0.62876026900501858</v>
      </c>
    </row>
    <row r="143" spans="1:19" x14ac:dyDescent="0.35">
      <c r="A143" s="29" t="s">
        <v>397</v>
      </c>
      <c r="B143" s="30" t="s">
        <v>398</v>
      </c>
      <c r="C143" s="16">
        <v>46218</v>
      </c>
      <c r="D143" s="21" t="s">
        <v>399</v>
      </c>
      <c r="E143" s="18" t="s">
        <v>394</v>
      </c>
      <c r="F143" s="19">
        <v>10.341873700000001</v>
      </c>
      <c r="G143" s="19">
        <v>63.407010550000003</v>
      </c>
      <c r="H143" s="15">
        <f>C6</f>
        <v>0.3</v>
      </c>
      <c r="I143" s="15">
        <f t="shared" si="4"/>
        <v>6.3617251235193315</v>
      </c>
      <c r="J143" s="30"/>
      <c r="K143" s="15" t="s">
        <v>50</v>
      </c>
      <c r="L143" s="15" t="s">
        <v>32</v>
      </c>
      <c r="M143" s="15" t="s">
        <v>32</v>
      </c>
      <c r="N143" s="15" t="s">
        <v>32</v>
      </c>
      <c r="O143" s="15" t="s">
        <v>32</v>
      </c>
      <c r="P143" s="15" t="s">
        <v>32</v>
      </c>
      <c r="Q143" s="30" t="s">
        <v>32</v>
      </c>
      <c r="R143" s="43">
        <v>57</v>
      </c>
      <c r="S143" s="28">
        <f t="shared" si="5"/>
        <v>8.9598338333215146</v>
      </c>
    </row>
    <row r="144" spans="1:19" x14ac:dyDescent="0.35">
      <c r="A144" s="29" t="s">
        <v>400</v>
      </c>
      <c r="B144" s="30" t="s">
        <v>401</v>
      </c>
      <c r="C144" s="16">
        <v>46218</v>
      </c>
      <c r="D144" s="21" t="s">
        <v>232</v>
      </c>
      <c r="E144" s="15" t="s">
        <v>402</v>
      </c>
      <c r="F144" s="19">
        <v>10.325438</v>
      </c>
      <c r="G144" s="19">
        <v>63.419518400000001</v>
      </c>
      <c r="H144" s="15">
        <f>C6</f>
        <v>0.3</v>
      </c>
      <c r="I144" s="15">
        <f t="shared" si="4"/>
        <v>6.3617251235193315</v>
      </c>
      <c r="J144" s="30"/>
      <c r="K144" s="15" t="s">
        <v>50</v>
      </c>
      <c r="L144" s="15" t="s">
        <v>32</v>
      </c>
      <c r="M144" s="15" t="s">
        <v>50</v>
      </c>
      <c r="N144" s="15" t="s">
        <v>32</v>
      </c>
      <c r="O144" s="15" t="s">
        <v>32</v>
      </c>
      <c r="P144" s="15" t="s">
        <v>32</v>
      </c>
      <c r="Q144" s="30" t="s">
        <v>50</v>
      </c>
      <c r="R144" s="43">
        <v>553</v>
      </c>
      <c r="S144" s="28">
        <f t="shared" si="5"/>
        <v>86.926107189943821</v>
      </c>
    </row>
    <row r="145" spans="1:19" x14ac:dyDescent="0.35">
      <c r="A145" s="29" t="s">
        <v>403</v>
      </c>
      <c r="B145" s="30" t="s">
        <v>404</v>
      </c>
      <c r="C145" s="16">
        <v>46218</v>
      </c>
      <c r="D145" s="21" t="s">
        <v>405</v>
      </c>
      <c r="E145" s="15" t="s">
        <v>406</v>
      </c>
      <c r="F145" s="19">
        <v>10.261124410000001</v>
      </c>
      <c r="G145" s="19">
        <v>63.419340300000002</v>
      </c>
      <c r="H145" s="15">
        <f>C6</f>
        <v>0.3</v>
      </c>
      <c r="I145" s="15">
        <f t="shared" si="4"/>
        <v>6.3617251235193315</v>
      </c>
      <c r="J145" s="30"/>
      <c r="K145" s="15" t="s">
        <v>50</v>
      </c>
      <c r="L145" s="15" t="s">
        <v>32</v>
      </c>
      <c r="M145" s="15" t="s">
        <v>50</v>
      </c>
      <c r="N145" s="15" t="s">
        <v>32</v>
      </c>
      <c r="O145" s="15" t="s">
        <v>32</v>
      </c>
      <c r="P145" s="15" t="s">
        <v>32</v>
      </c>
      <c r="Q145" s="30" t="s">
        <v>50</v>
      </c>
      <c r="R145" s="43">
        <v>231</v>
      </c>
      <c r="S145" s="28">
        <f t="shared" si="5"/>
        <v>36.310905535039822</v>
      </c>
    </row>
    <row r="146" spans="1:19" x14ac:dyDescent="0.35">
      <c r="A146" s="29" t="s">
        <v>407</v>
      </c>
      <c r="B146" s="30" t="s">
        <v>408</v>
      </c>
      <c r="C146" s="16">
        <v>46218</v>
      </c>
      <c r="D146" s="21" t="s">
        <v>409</v>
      </c>
      <c r="E146" s="18" t="s">
        <v>406</v>
      </c>
      <c r="F146" s="19">
        <v>10.26011834</v>
      </c>
      <c r="G146" s="19">
        <v>63.418440529999998</v>
      </c>
      <c r="H146" s="15">
        <f>C6</f>
        <v>0.3</v>
      </c>
      <c r="I146" s="15">
        <f t="shared" si="4"/>
        <v>6.3617251235193315</v>
      </c>
      <c r="J146" s="30"/>
      <c r="K146" s="15" t="s">
        <v>50</v>
      </c>
      <c r="L146" s="15" t="s">
        <v>32</v>
      </c>
      <c r="M146" s="15" t="s">
        <v>32</v>
      </c>
      <c r="N146" s="15" t="s">
        <v>32</v>
      </c>
      <c r="O146" s="15" t="s">
        <v>32</v>
      </c>
      <c r="P146" s="15" t="s">
        <v>32</v>
      </c>
      <c r="Q146" s="30" t="s">
        <v>32</v>
      </c>
      <c r="R146" s="43">
        <v>35</v>
      </c>
      <c r="S146" s="28">
        <f t="shared" si="5"/>
        <v>5.5016523537939124</v>
      </c>
    </row>
    <row r="147" spans="1:19" x14ac:dyDescent="0.35">
      <c r="A147" s="29" t="s">
        <v>410</v>
      </c>
      <c r="B147" s="30" t="s">
        <v>411</v>
      </c>
      <c r="C147" s="16">
        <v>46219</v>
      </c>
      <c r="D147" s="22">
        <v>0.38680555555555557</v>
      </c>
      <c r="E147" s="15" t="s">
        <v>412</v>
      </c>
      <c r="F147" s="19">
        <v>10.348906230000001</v>
      </c>
      <c r="G147" s="19">
        <v>63.422563670000002</v>
      </c>
      <c r="H147" s="15">
        <f>C6</f>
        <v>0.3</v>
      </c>
      <c r="I147" s="15">
        <f t="shared" si="4"/>
        <v>6.3617251235193315</v>
      </c>
      <c r="J147" s="30"/>
      <c r="K147" s="15" t="s">
        <v>50</v>
      </c>
      <c r="L147" s="15" t="s">
        <v>32</v>
      </c>
      <c r="M147" s="15" t="s">
        <v>50</v>
      </c>
      <c r="N147" s="15" t="s">
        <v>32</v>
      </c>
      <c r="O147" s="15" t="s">
        <v>32</v>
      </c>
      <c r="P147" s="15" t="s">
        <v>32</v>
      </c>
      <c r="Q147" s="30" t="s">
        <v>50</v>
      </c>
      <c r="R147" s="43">
        <v>386</v>
      </c>
      <c r="S147" s="28">
        <f t="shared" si="5"/>
        <v>60.675365958984294</v>
      </c>
    </row>
    <row r="148" spans="1:19" x14ac:dyDescent="0.35">
      <c r="A148" s="29" t="s">
        <v>413</v>
      </c>
      <c r="B148" s="30" t="s">
        <v>414</v>
      </c>
      <c r="C148" s="16">
        <v>46219</v>
      </c>
      <c r="D148" s="22">
        <v>0.39374999999999999</v>
      </c>
      <c r="E148" s="15" t="s">
        <v>412</v>
      </c>
      <c r="F148" s="19">
        <v>10.347863329999999</v>
      </c>
      <c r="G148" s="19">
        <v>63.42158285</v>
      </c>
      <c r="H148" s="15">
        <f>C6</f>
        <v>0.3</v>
      </c>
      <c r="I148" s="15">
        <f t="shared" si="4"/>
        <v>6.3617251235193315</v>
      </c>
      <c r="J148" s="30"/>
      <c r="K148" s="15" t="s">
        <v>50</v>
      </c>
      <c r="L148" s="15" t="s">
        <v>32</v>
      </c>
      <c r="M148" s="15" t="s">
        <v>50</v>
      </c>
      <c r="N148" s="15" t="s">
        <v>32</v>
      </c>
      <c r="O148" s="15" t="s">
        <v>32</v>
      </c>
      <c r="P148" s="15" t="s">
        <v>32</v>
      </c>
      <c r="Q148" s="30" t="s">
        <v>50</v>
      </c>
      <c r="R148" s="43">
        <v>479</v>
      </c>
      <c r="S148" s="28">
        <f t="shared" si="5"/>
        <v>75.294042213350977</v>
      </c>
    </row>
    <row r="149" spans="1:19" x14ac:dyDescent="0.35">
      <c r="A149" s="29" t="s">
        <v>415</v>
      </c>
      <c r="B149" s="30" t="s">
        <v>416</v>
      </c>
      <c r="C149" s="16">
        <v>46219</v>
      </c>
      <c r="D149" s="22">
        <v>0.40972222222222221</v>
      </c>
      <c r="E149" s="15" t="s">
        <v>412</v>
      </c>
      <c r="F149" s="19">
        <v>10.34552527</v>
      </c>
      <c r="G149" s="19">
        <v>63.420610050000001</v>
      </c>
      <c r="H149" s="15">
        <f>C6</f>
        <v>0.3</v>
      </c>
      <c r="I149" s="15">
        <f t="shared" si="4"/>
        <v>6.3617251235193315</v>
      </c>
      <c r="J149" s="30"/>
      <c r="K149" s="15" t="s">
        <v>50</v>
      </c>
      <c r="L149" s="15" t="s">
        <v>32</v>
      </c>
      <c r="M149" s="15" t="s">
        <v>32</v>
      </c>
      <c r="N149" s="15" t="s">
        <v>32</v>
      </c>
      <c r="O149" s="15" t="s">
        <v>32</v>
      </c>
      <c r="P149" s="15" t="s">
        <v>32</v>
      </c>
      <c r="Q149" s="30" t="s">
        <v>32</v>
      </c>
      <c r="R149" s="43">
        <v>4</v>
      </c>
      <c r="S149" s="28">
        <f t="shared" si="5"/>
        <v>0.62876026900501858</v>
      </c>
    </row>
    <row r="150" spans="1:19" x14ac:dyDescent="0.35">
      <c r="A150" s="29" t="s">
        <v>417</v>
      </c>
      <c r="B150" s="30" t="s">
        <v>418</v>
      </c>
      <c r="C150" s="16">
        <v>46219</v>
      </c>
      <c r="D150" s="22">
        <v>0.42638888888888887</v>
      </c>
      <c r="E150" s="15" t="s">
        <v>412</v>
      </c>
      <c r="F150" s="19">
        <v>10.342970299999999</v>
      </c>
      <c r="G150" s="19">
        <v>63.421686870000002</v>
      </c>
      <c r="H150" s="15">
        <f>C6</f>
        <v>0.3</v>
      </c>
      <c r="I150" s="15">
        <f t="shared" si="4"/>
        <v>6.3617251235193315</v>
      </c>
      <c r="J150" s="30"/>
      <c r="K150" s="15" t="s">
        <v>50</v>
      </c>
      <c r="L150" s="15" t="s">
        <v>32</v>
      </c>
      <c r="M150" s="15" t="s">
        <v>50</v>
      </c>
      <c r="N150" s="15" t="s">
        <v>32</v>
      </c>
      <c r="O150" s="15" t="s">
        <v>32</v>
      </c>
      <c r="P150" s="15" t="s">
        <v>32</v>
      </c>
      <c r="Q150" s="30" t="s">
        <v>50</v>
      </c>
      <c r="R150" s="43">
        <v>176</v>
      </c>
      <c r="S150" s="28">
        <f t="shared" si="5"/>
        <v>27.665451836220818</v>
      </c>
    </row>
    <row r="151" spans="1:19" x14ac:dyDescent="0.35">
      <c r="A151" s="29" t="s">
        <v>419</v>
      </c>
      <c r="B151" s="30" t="s">
        <v>420</v>
      </c>
      <c r="C151" s="16">
        <v>46219</v>
      </c>
      <c r="D151" s="22">
        <v>0.44444444444444442</v>
      </c>
      <c r="E151" s="15" t="s">
        <v>412</v>
      </c>
      <c r="F151" s="19">
        <v>10.34623158</v>
      </c>
      <c r="G151" s="19">
        <v>63.422571349999998</v>
      </c>
      <c r="H151" s="15">
        <f>C6</f>
        <v>0.3</v>
      </c>
      <c r="I151" s="15">
        <f t="shared" si="4"/>
        <v>6.3617251235193315</v>
      </c>
      <c r="J151" s="30"/>
      <c r="K151" s="15" t="s">
        <v>50</v>
      </c>
      <c r="L151" s="15" t="s">
        <v>32</v>
      </c>
      <c r="M151" s="15" t="s">
        <v>32</v>
      </c>
      <c r="N151" s="15" t="s">
        <v>32</v>
      </c>
      <c r="O151" s="15" t="s">
        <v>32</v>
      </c>
      <c r="P151" s="15" t="s">
        <v>32</v>
      </c>
      <c r="Q151" s="30" t="s">
        <v>32</v>
      </c>
      <c r="R151" s="43">
        <v>219</v>
      </c>
      <c r="S151" s="28">
        <f t="shared" si="5"/>
        <v>34.424624728024767</v>
      </c>
    </row>
    <row r="152" spans="1:19" x14ac:dyDescent="0.35">
      <c r="A152" s="29" t="s">
        <v>421</v>
      </c>
      <c r="B152" s="30" t="s">
        <v>422</v>
      </c>
      <c r="C152" s="16">
        <v>46219</v>
      </c>
      <c r="D152" s="21" t="s">
        <v>423</v>
      </c>
      <c r="E152" s="15" t="s">
        <v>361</v>
      </c>
      <c r="F152" s="19">
        <v>10.44805693</v>
      </c>
      <c r="G152" s="19">
        <v>63.457019649999999</v>
      </c>
      <c r="H152" s="15">
        <f>C6</f>
        <v>0.3</v>
      </c>
      <c r="I152" s="15">
        <f t="shared" si="4"/>
        <v>6.3617251235193315</v>
      </c>
      <c r="J152" s="30"/>
      <c r="K152" s="15" t="s">
        <v>50</v>
      </c>
      <c r="L152" s="15" t="s">
        <v>32</v>
      </c>
      <c r="M152" s="15" t="s">
        <v>32</v>
      </c>
      <c r="N152" s="15" t="s">
        <v>32</v>
      </c>
      <c r="O152" s="15" t="s">
        <v>32</v>
      </c>
      <c r="P152" s="15" t="s">
        <v>32</v>
      </c>
      <c r="Q152" s="30" t="s">
        <v>32</v>
      </c>
      <c r="R152" s="43">
        <v>124</v>
      </c>
      <c r="S152" s="28">
        <f t="shared" si="5"/>
        <v>19.491568339155577</v>
      </c>
    </row>
    <row r="153" spans="1:19" x14ac:dyDescent="0.35">
      <c r="A153" s="29" t="s">
        <v>424</v>
      </c>
      <c r="B153" s="30" t="s">
        <v>425</v>
      </c>
      <c r="C153" s="16">
        <v>46219</v>
      </c>
      <c r="D153" s="21" t="s">
        <v>175</v>
      </c>
      <c r="E153" s="15" t="s">
        <v>361</v>
      </c>
      <c r="F153" s="19">
        <v>10.45124143</v>
      </c>
      <c r="G153" s="19">
        <v>63.456863779999999</v>
      </c>
      <c r="H153" s="15">
        <f>C6</f>
        <v>0.3</v>
      </c>
      <c r="I153" s="15">
        <f t="shared" si="4"/>
        <v>6.3617251235193315</v>
      </c>
      <c r="J153" s="30"/>
      <c r="K153" s="15" t="s">
        <v>50</v>
      </c>
      <c r="L153" s="15" t="s">
        <v>32</v>
      </c>
      <c r="M153" s="15" t="s">
        <v>32</v>
      </c>
      <c r="N153" s="15" t="s">
        <v>32</v>
      </c>
      <c r="O153" s="15" t="s">
        <v>32</v>
      </c>
      <c r="P153" s="15" t="s">
        <v>32</v>
      </c>
      <c r="Q153" s="30" t="s">
        <v>32</v>
      </c>
      <c r="R153" s="43">
        <v>17</v>
      </c>
      <c r="S153" s="28">
        <f t="shared" si="5"/>
        <v>2.672231143271329</v>
      </c>
    </row>
    <row r="154" spans="1:19" x14ac:dyDescent="0.35">
      <c r="A154" s="29" t="s">
        <v>426</v>
      </c>
      <c r="B154" s="30" t="s">
        <v>427</v>
      </c>
      <c r="C154" s="16">
        <v>46219</v>
      </c>
      <c r="D154" s="21" t="s">
        <v>428</v>
      </c>
      <c r="E154" s="15" t="s">
        <v>361</v>
      </c>
      <c r="F154" s="19">
        <v>10.4546326</v>
      </c>
      <c r="G154" s="19">
        <v>63.456130680000001</v>
      </c>
      <c r="H154" s="15">
        <f>C6</f>
        <v>0.3</v>
      </c>
      <c r="I154" s="15">
        <f t="shared" si="4"/>
        <v>6.3617251235193315</v>
      </c>
      <c r="J154" s="30"/>
      <c r="K154" s="15" t="s">
        <v>50</v>
      </c>
      <c r="L154" s="15" t="s">
        <v>32</v>
      </c>
      <c r="M154" s="15" t="s">
        <v>32</v>
      </c>
      <c r="N154" s="15" t="s">
        <v>32</v>
      </c>
      <c r="O154" s="15" t="s">
        <v>32</v>
      </c>
      <c r="P154" s="15" t="s">
        <v>32</v>
      </c>
      <c r="Q154" s="30" t="s">
        <v>32</v>
      </c>
      <c r="R154" s="43">
        <v>162</v>
      </c>
      <c r="S154" s="28">
        <f t="shared" si="5"/>
        <v>25.464790894703253</v>
      </c>
    </row>
    <row r="155" spans="1:19" ht="15" thickBot="1" x14ac:dyDescent="0.4">
      <c r="A155" s="74" t="s">
        <v>429</v>
      </c>
      <c r="B155" s="55" t="s">
        <v>430</v>
      </c>
      <c r="C155" s="56">
        <v>46219</v>
      </c>
      <c r="D155" s="58" t="s">
        <v>431</v>
      </c>
      <c r="E155" s="54" t="s">
        <v>361</v>
      </c>
      <c r="F155" s="82">
        <v>10.46219608</v>
      </c>
      <c r="G155" s="82">
        <v>63.453352119999998</v>
      </c>
      <c r="H155" s="54">
        <f>C6</f>
        <v>0.3</v>
      </c>
      <c r="I155" s="54">
        <f t="shared" si="4"/>
        <v>6.3617251235193315</v>
      </c>
      <c r="J155" s="55"/>
      <c r="K155" s="54" t="s">
        <v>50</v>
      </c>
      <c r="L155" s="54" t="s">
        <v>32</v>
      </c>
      <c r="M155" s="54" t="s">
        <v>32</v>
      </c>
      <c r="N155" s="54" t="s">
        <v>32</v>
      </c>
      <c r="O155" s="54" t="s">
        <v>32</v>
      </c>
      <c r="P155" s="54" t="s">
        <v>32</v>
      </c>
      <c r="Q155" s="55" t="s">
        <v>32</v>
      </c>
      <c r="R155" s="75">
        <v>114</v>
      </c>
      <c r="S155" s="76">
        <f t="shared" si="5"/>
        <v>17.919667666643029</v>
      </c>
    </row>
    <row r="156" spans="1:19" x14ac:dyDescent="0.35">
      <c r="A156" s="81" t="s">
        <v>432</v>
      </c>
      <c r="B156" s="50" t="s">
        <v>433</v>
      </c>
      <c r="C156" s="51">
        <v>46223</v>
      </c>
      <c r="D156" s="52">
        <v>0.58333333333333337</v>
      </c>
      <c r="E156" s="49" t="s">
        <v>434</v>
      </c>
      <c r="F156" s="49">
        <v>10.4057</v>
      </c>
      <c r="G156" s="49">
        <v>63.415399999999998</v>
      </c>
      <c r="H156" s="53" t="s">
        <v>435</v>
      </c>
      <c r="I156" s="49">
        <v>0.01</v>
      </c>
      <c r="J156" s="50"/>
      <c r="K156" s="49" t="s">
        <v>32</v>
      </c>
      <c r="L156" s="49" t="s">
        <v>32</v>
      </c>
      <c r="M156" s="49" t="s">
        <v>32</v>
      </c>
      <c r="N156" s="49" t="s">
        <v>32</v>
      </c>
      <c r="O156" s="49" t="s">
        <v>32</v>
      </c>
      <c r="P156" s="49" t="s">
        <v>32</v>
      </c>
      <c r="Q156" s="50" t="s">
        <v>32</v>
      </c>
      <c r="R156" s="42">
        <v>11</v>
      </c>
      <c r="S156" s="50">
        <f t="shared" si="5"/>
        <v>1100</v>
      </c>
    </row>
    <row r="157" spans="1:19" x14ac:dyDescent="0.35">
      <c r="A157" s="29" t="s">
        <v>436</v>
      </c>
      <c r="B157" s="30" t="s">
        <v>437</v>
      </c>
      <c r="C157" s="16">
        <v>46223</v>
      </c>
      <c r="D157" s="17">
        <v>0.59375</v>
      </c>
      <c r="E157" s="18" t="s">
        <v>434</v>
      </c>
      <c r="F157" s="15">
        <v>10.4057</v>
      </c>
      <c r="G157" s="15">
        <v>63.415399999999998</v>
      </c>
      <c r="H157" s="21" t="s">
        <v>435</v>
      </c>
      <c r="I157" s="15">
        <v>0.01</v>
      </c>
      <c r="J157" s="30"/>
      <c r="K157" s="15" t="s">
        <v>32</v>
      </c>
      <c r="L157" s="15" t="s">
        <v>32</v>
      </c>
      <c r="M157" s="15" t="s">
        <v>32</v>
      </c>
      <c r="N157" s="15" t="s">
        <v>32</v>
      </c>
      <c r="O157" s="15" t="s">
        <v>32</v>
      </c>
      <c r="P157" s="15" t="s">
        <v>32</v>
      </c>
      <c r="Q157" s="30" t="s">
        <v>32</v>
      </c>
      <c r="R157" s="43">
        <v>17</v>
      </c>
      <c r="S157" s="28">
        <f t="shared" si="5"/>
        <v>1700</v>
      </c>
    </row>
    <row r="158" spans="1:19" x14ac:dyDescent="0.35">
      <c r="A158" s="29" t="s">
        <v>438</v>
      </c>
      <c r="B158" s="30" t="s">
        <v>439</v>
      </c>
      <c r="C158" s="16">
        <v>46223</v>
      </c>
      <c r="D158" s="17">
        <v>0.60416666666666663</v>
      </c>
      <c r="E158" s="15" t="s">
        <v>440</v>
      </c>
      <c r="F158" s="15">
        <v>10.4057</v>
      </c>
      <c r="G158" s="15">
        <v>63.415399999999998</v>
      </c>
      <c r="H158" s="21" t="s">
        <v>435</v>
      </c>
      <c r="I158" s="15">
        <v>0.01</v>
      </c>
      <c r="J158" s="30" t="s">
        <v>441</v>
      </c>
      <c r="K158" s="15" t="s">
        <v>32</v>
      </c>
      <c r="L158" s="15" t="s">
        <v>32</v>
      </c>
      <c r="M158" s="15" t="s">
        <v>32</v>
      </c>
      <c r="N158" s="15" t="s">
        <v>32</v>
      </c>
      <c r="O158" s="15" t="s">
        <v>50</v>
      </c>
      <c r="P158" s="15" t="s">
        <v>32</v>
      </c>
      <c r="Q158" s="30" t="s">
        <v>50</v>
      </c>
      <c r="R158" s="43">
        <v>6</v>
      </c>
      <c r="S158" s="28">
        <f t="shared" si="5"/>
        <v>600</v>
      </c>
    </row>
    <row r="159" spans="1:19" x14ac:dyDescent="0.35">
      <c r="A159" s="29" t="s">
        <v>442</v>
      </c>
      <c r="B159" s="30" t="s">
        <v>443</v>
      </c>
      <c r="C159" s="16">
        <v>46224</v>
      </c>
      <c r="D159" s="17">
        <v>0.41666666666666669</v>
      </c>
      <c r="E159" s="18" t="s">
        <v>434</v>
      </c>
      <c r="F159" s="15">
        <v>10.4057</v>
      </c>
      <c r="G159" s="15">
        <v>63.415399999999998</v>
      </c>
      <c r="H159" s="21" t="s">
        <v>435</v>
      </c>
      <c r="I159" s="15">
        <v>0.01</v>
      </c>
      <c r="J159" s="30"/>
      <c r="K159" s="15" t="s">
        <v>32</v>
      </c>
      <c r="L159" s="15" t="s">
        <v>32</v>
      </c>
      <c r="M159" s="15" t="s">
        <v>32</v>
      </c>
      <c r="N159" s="15" t="s">
        <v>32</v>
      </c>
      <c r="O159" s="15" t="s">
        <v>50</v>
      </c>
      <c r="P159" s="15" t="s">
        <v>32</v>
      </c>
      <c r="Q159" s="30" t="s">
        <v>50</v>
      </c>
      <c r="R159" s="43">
        <v>27</v>
      </c>
      <c r="S159" s="28">
        <f t="shared" si="5"/>
        <v>2700</v>
      </c>
    </row>
    <row r="160" spans="1:19" x14ac:dyDescent="0.35">
      <c r="A160" s="29" t="s">
        <v>444</v>
      </c>
      <c r="B160" s="30" t="s">
        <v>445</v>
      </c>
      <c r="C160" s="16">
        <v>46224</v>
      </c>
      <c r="D160" s="17">
        <v>0.42708333333333331</v>
      </c>
      <c r="E160" s="15" t="s">
        <v>446</v>
      </c>
      <c r="F160" s="15">
        <v>10.4057</v>
      </c>
      <c r="G160" s="15">
        <v>63.415399999999998</v>
      </c>
      <c r="H160" s="21" t="s">
        <v>435</v>
      </c>
      <c r="I160" s="15">
        <v>0.01</v>
      </c>
      <c r="J160" s="30"/>
      <c r="K160" s="15" t="s">
        <v>32</v>
      </c>
      <c r="L160" s="15" t="s">
        <v>32</v>
      </c>
      <c r="M160" s="15" t="s">
        <v>32</v>
      </c>
      <c r="N160" s="15" t="s">
        <v>32</v>
      </c>
      <c r="O160" s="15" t="s">
        <v>50</v>
      </c>
      <c r="P160" s="15" t="s">
        <v>32</v>
      </c>
      <c r="Q160" s="30" t="s">
        <v>50</v>
      </c>
      <c r="R160" s="43">
        <v>5</v>
      </c>
      <c r="S160" s="28">
        <f t="shared" si="5"/>
        <v>500</v>
      </c>
    </row>
    <row r="161" spans="1:19" x14ac:dyDescent="0.35">
      <c r="A161" s="29" t="s">
        <v>447</v>
      </c>
      <c r="B161" s="30" t="s">
        <v>448</v>
      </c>
      <c r="C161" s="16">
        <v>46224</v>
      </c>
      <c r="D161" s="17">
        <v>0.4375</v>
      </c>
      <c r="E161" s="15" t="s">
        <v>449</v>
      </c>
      <c r="F161" s="15">
        <v>10.4057</v>
      </c>
      <c r="G161" s="15">
        <v>63.415399999999998</v>
      </c>
      <c r="H161" s="21" t="s">
        <v>435</v>
      </c>
      <c r="I161" s="15">
        <v>0.01</v>
      </c>
      <c r="J161" s="30"/>
      <c r="K161" s="15" t="s">
        <v>32</v>
      </c>
      <c r="L161" s="15" t="s">
        <v>32</v>
      </c>
      <c r="M161" s="15" t="s">
        <v>32</v>
      </c>
      <c r="N161" s="15" t="s">
        <v>32</v>
      </c>
      <c r="O161" s="15" t="s">
        <v>50</v>
      </c>
      <c r="P161" s="15" t="s">
        <v>32</v>
      </c>
      <c r="Q161" s="30" t="s">
        <v>50</v>
      </c>
      <c r="R161" s="43">
        <v>6</v>
      </c>
      <c r="S161" s="28">
        <f t="shared" si="5"/>
        <v>600</v>
      </c>
    </row>
    <row r="162" spans="1:19" x14ac:dyDescent="0.35">
      <c r="A162" s="29" t="s">
        <v>450</v>
      </c>
      <c r="B162" s="30" t="s">
        <v>451</v>
      </c>
      <c r="C162" s="16">
        <v>46224</v>
      </c>
      <c r="D162" s="17">
        <v>0.44791666666666669</v>
      </c>
      <c r="E162" s="15" t="s">
        <v>452</v>
      </c>
      <c r="F162" s="15">
        <v>10.4057</v>
      </c>
      <c r="G162" s="15">
        <v>63.415399999999998</v>
      </c>
      <c r="H162" s="21" t="s">
        <v>435</v>
      </c>
      <c r="I162" s="15">
        <v>0.01</v>
      </c>
      <c r="J162" s="30"/>
      <c r="K162" s="15" t="s">
        <v>32</v>
      </c>
      <c r="L162" s="15" t="s">
        <v>32</v>
      </c>
      <c r="M162" s="15" t="s">
        <v>32</v>
      </c>
      <c r="N162" s="15" t="s">
        <v>32</v>
      </c>
      <c r="O162" s="15" t="s">
        <v>50</v>
      </c>
      <c r="P162" s="15" t="s">
        <v>32</v>
      </c>
      <c r="Q162" s="30" t="s">
        <v>50</v>
      </c>
      <c r="R162" s="43">
        <v>10</v>
      </c>
      <c r="S162" s="28">
        <f t="shared" si="5"/>
        <v>1000</v>
      </c>
    </row>
    <row r="163" spans="1:19" ht="15" thickBot="1" x14ac:dyDescent="0.4">
      <c r="A163" s="74" t="s">
        <v>453</v>
      </c>
      <c r="B163" s="55" t="s">
        <v>454</v>
      </c>
      <c r="C163" s="56">
        <v>46224</v>
      </c>
      <c r="D163" s="57">
        <v>0.45833333333333331</v>
      </c>
      <c r="E163" s="54" t="s">
        <v>455</v>
      </c>
      <c r="F163" s="54">
        <v>10.4057</v>
      </c>
      <c r="G163" s="54">
        <v>63.415399999999998</v>
      </c>
      <c r="H163" s="58" t="s">
        <v>435</v>
      </c>
      <c r="I163" s="54">
        <v>0.01</v>
      </c>
      <c r="J163" s="55"/>
      <c r="K163" s="54" t="s">
        <v>32</v>
      </c>
      <c r="L163" s="54" t="s">
        <v>32</v>
      </c>
      <c r="M163" s="54" t="s">
        <v>32</v>
      </c>
      <c r="N163" s="54" t="s">
        <v>32</v>
      </c>
      <c r="O163" s="54" t="s">
        <v>50</v>
      </c>
      <c r="P163" s="54" t="s">
        <v>32</v>
      </c>
      <c r="Q163" s="55" t="s">
        <v>50</v>
      </c>
      <c r="R163" s="75">
        <v>13</v>
      </c>
      <c r="S163" s="76">
        <f t="shared" si="5"/>
        <v>1300</v>
      </c>
    </row>
    <row r="164" spans="1:19" x14ac:dyDescent="0.35">
      <c r="A164" s="49" t="s">
        <v>456</v>
      </c>
      <c r="B164" s="50" t="s">
        <v>539</v>
      </c>
      <c r="C164" s="51">
        <v>46224</v>
      </c>
      <c r="D164" s="52">
        <v>0.54166666666666663</v>
      </c>
      <c r="E164" s="49" t="s">
        <v>540</v>
      </c>
      <c r="F164" s="49">
        <v>63.415399999999998</v>
      </c>
      <c r="G164" s="49">
        <v>10.4057</v>
      </c>
      <c r="H164" s="53" t="s">
        <v>435</v>
      </c>
      <c r="I164" s="49">
        <v>5.3999999999999999E-2</v>
      </c>
      <c r="J164" s="50"/>
      <c r="K164" s="49" t="s">
        <v>32</v>
      </c>
      <c r="L164" s="49" t="s">
        <v>32</v>
      </c>
      <c r="M164" s="49" t="s">
        <v>32</v>
      </c>
      <c r="N164" s="49" t="s">
        <v>32</v>
      </c>
      <c r="O164" s="49" t="s">
        <v>32</v>
      </c>
      <c r="P164" s="49" t="s">
        <v>32</v>
      </c>
      <c r="Q164" s="50" t="s">
        <v>32</v>
      </c>
      <c r="R164" s="77">
        <v>1</v>
      </c>
      <c r="S164" s="50">
        <f t="shared" si="5"/>
        <v>18.518518518518519</v>
      </c>
    </row>
    <row r="165" spans="1:19" x14ac:dyDescent="0.35">
      <c r="A165" s="15" t="s">
        <v>457</v>
      </c>
      <c r="B165" s="30" t="s">
        <v>541</v>
      </c>
      <c r="C165" s="16">
        <v>46224</v>
      </c>
      <c r="D165" s="17">
        <v>0.54513888888888884</v>
      </c>
      <c r="E165" s="15" t="s">
        <v>458</v>
      </c>
      <c r="F165" s="15">
        <v>63.415399999999998</v>
      </c>
      <c r="G165" s="15">
        <v>10.4057</v>
      </c>
      <c r="H165" s="21" t="s">
        <v>435</v>
      </c>
      <c r="I165" s="15">
        <v>5.3999999999999999E-2</v>
      </c>
      <c r="J165" s="30"/>
      <c r="K165" s="15" t="s">
        <v>32</v>
      </c>
      <c r="L165" s="15" t="s">
        <v>32</v>
      </c>
      <c r="M165" s="15" t="s">
        <v>32</v>
      </c>
      <c r="N165" s="15" t="s">
        <v>32</v>
      </c>
      <c r="O165" s="15" t="s">
        <v>32</v>
      </c>
      <c r="P165" s="15" t="s">
        <v>32</v>
      </c>
      <c r="Q165" s="30" t="s">
        <v>32</v>
      </c>
      <c r="R165" s="78">
        <v>17</v>
      </c>
      <c r="S165" s="30">
        <f t="shared" si="5"/>
        <v>314.81481481481484</v>
      </c>
    </row>
    <row r="166" spans="1:19" x14ac:dyDescent="0.35">
      <c r="A166" s="15" t="s">
        <v>459</v>
      </c>
      <c r="B166" s="30" t="s">
        <v>542</v>
      </c>
      <c r="C166" s="16">
        <v>46224</v>
      </c>
      <c r="D166" s="17">
        <v>0.54861111111111116</v>
      </c>
      <c r="E166" s="15" t="s">
        <v>460</v>
      </c>
      <c r="F166" s="15">
        <v>63.415399999999998</v>
      </c>
      <c r="G166" s="15">
        <v>10.4057</v>
      </c>
      <c r="H166" s="21" t="s">
        <v>435</v>
      </c>
      <c r="I166" s="15">
        <v>5.3999999999999999E-2</v>
      </c>
      <c r="J166" s="30"/>
      <c r="K166" s="15" t="s">
        <v>32</v>
      </c>
      <c r="L166" s="15" t="s">
        <v>32</v>
      </c>
      <c r="M166" s="15" t="s">
        <v>32</v>
      </c>
      <c r="N166" s="15" t="s">
        <v>32</v>
      </c>
      <c r="O166" s="15" t="s">
        <v>32</v>
      </c>
      <c r="P166" s="15" t="s">
        <v>32</v>
      </c>
      <c r="Q166" s="30" t="s">
        <v>32</v>
      </c>
      <c r="R166" s="78">
        <v>48</v>
      </c>
      <c r="S166" s="30">
        <f t="shared" si="5"/>
        <v>888.88888888888891</v>
      </c>
    </row>
    <row r="167" spans="1:19" x14ac:dyDescent="0.35">
      <c r="A167" s="15" t="s">
        <v>461</v>
      </c>
      <c r="B167" s="30" t="s">
        <v>543</v>
      </c>
      <c r="C167" s="16">
        <v>46224</v>
      </c>
      <c r="D167" s="17">
        <v>0.55208333333333337</v>
      </c>
      <c r="E167" s="15" t="s">
        <v>462</v>
      </c>
      <c r="F167" s="15">
        <v>63.415399999999998</v>
      </c>
      <c r="G167" s="15">
        <v>10.4057</v>
      </c>
      <c r="H167" s="21" t="s">
        <v>435</v>
      </c>
      <c r="I167" s="15">
        <v>5.3999999999999999E-2</v>
      </c>
      <c r="J167" s="30"/>
      <c r="K167" s="15" t="s">
        <v>32</v>
      </c>
      <c r="L167" s="15" t="s">
        <v>32</v>
      </c>
      <c r="M167" s="15" t="s">
        <v>32</v>
      </c>
      <c r="N167" s="15" t="s">
        <v>32</v>
      </c>
      <c r="O167" s="15" t="s">
        <v>32</v>
      </c>
      <c r="P167" s="15" t="s">
        <v>32</v>
      </c>
      <c r="Q167" s="30" t="s">
        <v>32</v>
      </c>
      <c r="R167" s="78">
        <v>15</v>
      </c>
      <c r="S167" s="30">
        <f t="shared" si="5"/>
        <v>277.77777777777777</v>
      </c>
    </row>
    <row r="168" spans="1:19" x14ac:dyDescent="0.35">
      <c r="A168" s="15" t="s">
        <v>463</v>
      </c>
      <c r="B168" s="30" t="s">
        <v>544</v>
      </c>
      <c r="C168" s="16">
        <v>46224</v>
      </c>
      <c r="D168" s="17">
        <v>0.55555555555555558</v>
      </c>
      <c r="E168" s="15" t="s">
        <v>464</v>
      </c>
      <c r="F168" s="15">
        <v>63.415399999999998</v>
      </c>
      <c r="G168" s="15">
        <v>10.4057</v>
      </c>
      <c r="H168" s="21" t="s">
        <v>435</v>
      </c>
      <c r="I168" s="15">
        <v>5.3999999999999999E-2</v>
      </c>
      <c r="J168" s="30"/>
      <c r="K168" s="15" t="s">
        <v>32</v>
      </c>
      <c r="L168" s="15" t="s">
        <v>32</v>
      </c>
      <c r="M168" s="15" t="s">
        <v>32</v>
      </c>
      <c r="N168" s="15" t="s">
        <v>32</v>
      </c>
      <c r="O168" s="15" t="s">
        <v>32</v>
      </c>
      <c r="P168" s="15" t="s">
        <v>32</v>
      </c>
      <c r="Q168" s="30" t="s">
        <v>32</v>
      </c>
      <c r="R168" s="78">
        <v>11</v>
      </c>
      <c r="S168" s="30">
        <f t="shared" si="5"/>
        <v>203.7037037037037</v>
      </c>
    </row>
    <row r="169" spans="1:19" x14ac:dyDescent="0.35">
      <c r="A169" s="15" t="s">
        <v>465</v>
      </c>
      <c r="B169" s="30" t="s">
        <v>545</v>
      </c>
      <c r="C169" s="16">
        <v>46224</v>
      </c>
      <c r="D169" s="17">
        <v>0.55902777777777779</v>
      </c>
      <c r="E169" s="15" t="s">
        <v>466</v>
      </c>
      <c r="F169" s="15">
        <v>63.415399999999998</v>
      </c>
      <c r="G169" s="15">
        <v>10.4057</v>
      </c>
      <c r="H169" s="21" t="s">
        <v>435</v>
      </c>
      <c r="I169" s="15">
        <v>5.3999999999999999E-2</v>
      </c>
      <c r="J169" s="30"/>
      <c r="K169" s="15" t="s">
        <v>32</v>
      </c>
      <c r="L169" s="15" t="s">
        <v>32</v>
      </c>
      <c r="M169" s="15" t="s">
        <v>32</v>
      </c>
      <c r="N169" s="15" t="s">
        <v>32</v>
      </c>
      <c r="O169" s="15" t="s">
        <v>32</v>
      </c>
      <c r="P169" s="15" t="s">
        <v>32</v>
      </c>
      <c r="Q169" s="30" t="s">
        <v>32</v>
      </c>
      <c r="R169" s="78"/>
      <c r="S169" s="30">
        <f t="shared" si="5"/>
        <v>0</v>
      </c>
    </row>
    <row r="170" spans="1:19" x14ac:dyDescent="0.35">
      <c r="A170" s="15" t="s">
        <v>467</v>
      </c>
      <c r="B170" s="30" t="s">
        <v>546</v>
      </c>
      <c r="C170" s="16">
        <v>46224</v>
      </c>
      <c r="D170" s="17">
        <v>0.5625</v>
      </c>
      <c r="E170" s="15" t="s">
        <v>468</v>
      </c>
      <c r="F170" s="15">
        <v>63.415399999999998</v>
      </c>
      <c r="G170" s="15">
        <v>10.4057</v>
      </c>
      <c r="H170" s="21" t="s">
        <v>435</v>
      </c>
      <c r="I170" s="15">
        <v>5.3999999999999999E-2</v>
      </c>
      <c r="J170" s="30"/>
      <c r="K170" s="15" t="s">
        <v>32</v>
      </c>
      <c r="L170" s="15" t="s">
        <v>32</v>
      </c>
      <c r="M170" s="15" t="s">
        <v>32</v>
      </c>
      <c r="N170" s="15" t="s">
        <v>32</v>
      </c>
      <c r="O170" s="15" t="s">
        <v>32</v>
      </c>
      <c r="P170" s="15" t="s">
        <v>32</v>
      </c>
      <c r="Q170" s="30" t="s">
        <v>32</v>
      </c>
      <c r="R170" s="78">
        <v>32</v>
      </c>
      <c r="S170" s="30">
        <f t="shared" si="5"/>
        <v>592.59259259259261</v>
      </c>
    </row>
    <row r="171" spans="1:19" x14ac:dyDescent="0.35">
      <c r="A171" s="15" t="s">
        <v>469</v>
      </c>
      <c r="B171" s="30" t="s">
        <v>547</v>
      </c>
      <c r="C171" s="16">
        <v>46224</v>
      </c>
      <c r="D171" s="17">
        <v>0.56597222222222221</v>
      </c>
      <c r="E171" s="15" t="s">
        <v>470</v>
      </c>
      <c r="F171" s="15">
        <v>63.415399999999998</v>
      </c>
      <c r="G171" s="15">
        <v>10.4057</v>
      </c>
      <c r="H171" s="21" t="s">
        <v>435</v>
      </c>
      <c r="I171" s="15">
        <v>5.3999999999999999E-2</v>
      </c>
      <c r="J171" s="30"/>
      <c r="K171" s="15" t="s">
        <v>32</v>
      </c>
      <c r="L171" s="15" t="s">
        <v>32</v>
      </c>
      <c r="M171" s="15" t="s">
        <v>32</v>
      </c>
      <c r="N171" s="15" t="s">
        <v>32</v>
      </c>
      <c r="O171" s="15" t="s">
        <v>32</v>
      </c>
      <c r="P171" s="15" t="s">
        <v>32</v>
      </c>
      <c r="Q171" s="30" t="s">
        <v>32</v>
      </c>
      <c r="R171" s="78">
        <v>41</v>
      </c>
      <c r="S171" s="30">
        <f t="shared" si="5"/>
        <v>759.25925925925924</v>
      </c>
    </row>
    <row r="172" spans="1:19" x14ac:dyDescent="0.35">
      <c r="A172" s="15" t="s">
        <v>471</v>
      </c>
      <c r="B172" s="30" t="s">
        <v>548</v>
      </c>
      <c r="C172" s="16">
        <v>46224</v>
      </c>
      <c r="D172" s="17">
        <v>0.56944444444444442</v>
      </c>
      <c r="E172" s="15" t="s">
        <v>472</v>
      </c>
      <c r="F172" s="15">
        <v>63.415399999999998</v>
      </c>
      <c r="G172" s="15">
        <v>10.4057</v>
      </c>
      <c r="H172" s="21" t="s">
        <v>435</v>
      </c>
      <c r="I172" s="15">
        <v>5.3999999999999999E-2</v>
      </c>
      <c r="J172" s="30"/>
      <c r="K172" s="15" t="s">
        <v>32</v>
      </c>
      <c r="L172" s="15" t="s">
        <v>32</v>
      </c>
      <c r="M172" s="15" t="s">
        <v>32</v>
      </c>
      <c r="N172" s="15" t="s">
        <v>32</v>
      </c>
      <c r="O172" s="15" t="s">
        <v>32</v>
      </c>
      <c r="P172" s="15" t="s">
        <v>32</v>
      </c>
      <c r="Q172" s="30" t="s">
        <v>32</v>
      </c>
      <c r="R172" s="78">
        <v>10</v>
      </c>
      <c r="S172" s="30">
        <f t="shared" si="5"/>
        <v>185.18518518518519</v>
      </c>
    </row>
    <row r="173" spans="1:19" ht="15" thickBot="1" x14ac:dyDescent="0.4">
      <c r="A173" s="54" t="s">
        <v>473</v>
      </c>
      <c r="B173" s="55" t="s">
        <v>549</v>
      </c>
      <c r="C173" s="56">
        <v>46224</v>
      </c>
      <c r="D173" s="57">
        <v>0.57291666666666663</v>
      </c>
      <c r="E173" s="54" t="s">
        <v>474</v>
      </c>
      <c r="F173" s="54">
        <v>63.415399999999998</v>
      </c>
      <c r="G173" s="54">
        <v>10.4057</v>
      </c>
      <c r="H173" s="58" t="s">
        <v>435</v>
      </c>
      <c r="I173" s="54">
        <v>5.3999999999999999E-2</v>
      </c>
      <c r="J173" s="55"/>
      <c r="K173" s="54" t="s">
        <v>32</v>
      </c>
      <c r="L173" s="54" t="s">
        <v>32</v>
      </c>
      <c r="M173" s="54" t="s">
        <v>32</v>
      </c>
      <c r="N173" s="54" t="s">
        <v>32</v>
      </c>
      <c r="O173" s="54" t="s">
        <v>32</v>
      </c>
      <c r="P173" s="54" t="s">
        <v>32</v>
      </c>
      <c r="Q173" s="55" t="s">
        <v>32</v>
      </c>
      <c r="R173" s="79">
        <v>14</v>
      </c>
      <c r="S173" s="55">
        <f t="shared" si="5"/>
        <v>259.25925925925924</v>
      </c>
    </row>
    <row r="174" spans="1:19" x14ac:dyDescent="0.35">
      <c r="A174" s="59" t="s">
        <v>475</v>
      </c>
      <c r="B174" s="60" t="s">
        <v>550</v>
      </c>
      <c r="C174" s="61">
        <v>46220</v>
      </c>
      <c r="D174" s="62">
        <v>0.58333333333333337</v>
      </c>
      <c r="E174" s="63" t="s">
        <v>551</v>
      </c>
      <c r="F174" s="59">
        <v>63.415399999999998</v>
      </c>
      <c r="G174" s="59">
        <v>10.4057</v>
      </c>
      <c r="H174" s="64" t="s">
        <v>435</v>
      </c>
      <c r="I174" s="59">
        <v>0.01</v>
      </c>
      <c r="J174" s="60"/>
      <c r="K174" s="63" t="s">
        <v>32</v>
      </c>
      <c r="L174" s="63" t="s">
        <v>32</v>
      </c>
      <c r="M174" s="63" t="s">
        <v>32</v>
      </c>
      <c r="N174" s="63" t="s">
        <v>32</v>
      </c>
      <c r="O174" s="63" t="s">
        <v>50</v>
      </c>
      <c r="P174" s="63" t="s">
        <v>32</v>
      </c>
      <c r="Q174" s="65" t="s">
        <v>50</v>
      </c>
      <c r="R174" s="80">
        <v>2</v>
      </c>
      <c r="S174" s="60">
        <f t="shared" si="5"/>
        <v>200</v>
      </c>
    </row>
    <row r="175" spans="1:19" x14ac:dyDescent="0.35">
      <c r="A175" s="66" t="s">
        <v>476</v>
      </c>
      <c r="B175" s="67" t="s">
        <v>552</v>
      </c>
      <c r="C175" s="68">
        <v>46220</v>
      </c>
      <c r="D175" s="69">
        <v>0.59375</v>
      </c>
      <c r="E175" s="15" t="s">
        <v>553</v>
      </c>
      <c r="F175" s="66">
        <v>63.415399999999998</v>
      </c>
      <c r="G175" s="66">
        <v>10.4057</v>
      </c>
      <c r="H175" s="21" t="s">
        <v>435</v>
      </c>
      <c r="I175" s="15">
        <v>0.01</v>
      </c>
      <c r="J175" s="67"/>
      <c r="K175" s="15" t="s">
        <v>32</v>
      </c>
      <c r="L175" s="15" t="s">
        <v>32</v>
      </c>
      <c r="M175" s="15" t="s">
        <v>32</v>
      </c>
      <c r="N175" s="15" t="s">
        <v>32</v>
      </c>
      <c r="O175" s="15" t="s">
        <v>50</v>
      </c>
      <c r="P175" s="15" t="s">
        <v>32</v>
      </c>
      <c r="Q175" s="30" t="s">
        <v>50</v>
      </c>
      <c r="R175" s="43">
        <v>3</v>
      </c>
      <c r="S175" s="67">
        <f t="shared" si="5"/>
        <v>300</v>
      </c>
    </row>
    <row r="176" spans="1:19" x14ac:dyDescent="0.35">
      <c r="A176" s="66" t="s">
        <v>477</v>
      </c>
      <c r="B176" s="67" t="s">
        <v>554</v>
      </c>
      <c r="C176" s="68">
        <v>46220</v>
      </c>
      <c r="D176" s="69">
        <v>0.60416666666666663</v>
      </c>
      <c r="E176" s="15" t="s">
        <v>555</v>
      </c>
      <c r="F176" s="66">
        <v>63.415399999999998</v>
      </c>
      <c r="G176" s="66">
        <v>10.4057</v>
      </c>
      <c r="H176" s="21" t="s">
        <v>435</v>
      </c>
      <c r="I176" s="15">
        <v>0.01</v>
      </c>
      <c r="J176" s="67"/>
      <c r="K176" s="15" t="s">
        <v>32</v>
      </c>
      <c r="L176" s="15" t="s">
        <v>32</v>
      </c>
      <c r="M176" s="15" t="s">
        <v>32</v>
      </c>
      <c r="N176" s="15" t="s">
        <v>32</v>
      </c>
      <c r="O176" s="15" t="s">
        <v>50</v>
      </c>
      <c r="P176" s="15" t="s">
        <v>32</v>
      </c>
      <c r="Q176" s="30" t="s">
        <v>50</v>
      </c>
      <c r="R176" s="43">
        <v>6</v>
      </c>
      <c r="S176" s="67">
        <f t="shared" si="5"/>
        <v>600</v>
      </c>
    </row>
    <row r="177" spans="1:19" x14ac:dyDescent="0.35">
      <c r="A177" s="70" t="s">
        <v>478</v>
      </c>
      <c r="B177" s="71" t="s">
        <v>556</v>
      </c>
      <c r="C177" s="72">
        <v>46220</v>
      </c>
      <c r="D177" s="73">
        <v>0.61458333333333337</v>
      </c>
      <c r="E177" s="31" t="s">
        <v>555</v>
      </c>
      <c r="F177" s="70">
        <v>63.415399999999998</v>
      </c>
      <c r="G177" s="70">
        <v>10.4057</v>
      </c>
      <c r="H177" s="32" t="s">
        <v>435</v>
      </c>
      <c r="I177" s="31">
        <v>0.01</v>
      </c>
      <c r="J177" s="71"/>
      <c r="K177" s="31" t="s">
        <v>32</v>
      </c>
      <c r="L177" s="31" t="s">
        <v>32</v>
      </c>
      <c r="M177" s="31" t="s">
        <v>32</v>
      </c>
      <c r="N177" s="31" t="s">
        <v>32</v>
      </c>
      <c r="O177" s="31" t="s">
        <v>50</v>
      </c>
      <c r="P177" s="31" t="s">
        <v>32</v>
      </c>
      <c r="Q177" s="33" t="s">
        <v>50</v>
      </c>
      <c r="R177" s="44">
        <v>5</v>
      </c>
      <c r="S177" s="71">
        <f t="shared" si="5"/>
        <v>500</v>
      </c>
    </row>
  </sheetData>
  <conditionalFormatting sqref="K11:Q177">
    <cfRule type="cellIs" dxfId="1" priority="1" operator="equal">
      <formula>"true"</formula>
    </cfRule>
  </conditionalFormatting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60dee7-0d27-43f6-b6a2-8e210c187b83" xsi:nil="true"/>
    <lcf76f155ced4ddcb4097134ff3c332f xmlns="9d226a53-2925-4abb-935f-8aef38cb7c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31F5EF14D3C46A25DF7BE346CE163" ma:contentTypeVersion="12" ma:contentTypeDescription="Create a new document." ma:contentTypeScope="" ma:versionID="5516d4950f11fc00375256d6a6f50b99">
  <xsd:schema xmlns:xsd="http://www.w3.org/2001/XMLSchema" xmlns:xs="http://www.w3.org/2001/XMLSchema" xmlns:p="http://schemas.microsoft.com/office/2006/metadata/properties" xmlns:ns2="9d226a53-2925-4abb-935f-8aef38cb7cec" xmlns:ns3="4060dee7-0d27-43f6-b6a2-8e210c187b83" targetNamespace="http://schemas.microsoft.com/office/2006/metadata/properties" ma:root="true" ma:fieldsID="ae568c0654ddc4599ebb7307f3fc931d" ns2:_="" ns3:_="">
    <xsd:import namespace="9d226a53-2925-4abb-935f-8aef38cb7cec"/>
    <xsd:import namespace="4060dee7-0d27-43f6-b6a2-8e210c187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26a53-2925-4abb-935f-8aef38cb7c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0dee7-0d27-43f6-b6a2-8e210c187b8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5396e8-24d9-4d12-b81a-dd86ec907c0c}" ma:internalName="TaxCatchAll" ma:showField="CatchAllData" ma:web="4060dee7-0d27-43f6-b6a2-8e210c187b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647B5-1585-4372-BC91-5B35CAF4238F}">
  <ds:schemaRefs>
    <ds:schemaRef ds:uri="c3abf14e-f1b5-486a-a018-0297f0205253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3fbcf9f7-3bfa-4f2c-924b-a8ffcdeb0630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66EF394-E5F2-45F9-A444-0EF39B2D05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18E830-3A76-4F52-B3F8-D0FA2F96A728}"/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Felix Torp</cp:lastModifiedBy>
  <cp:revision/>
  <dcterms:created xsi:type="dcterms:W3CDTF">2026-06-30T11:35:29Z</dcterms:created>
  <dcterms:modified xsi:type="dcterms:W3CDTF">2026-07-30T09:37:32Z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0x010100F6A31F5EF14D3C46A25DF7BE346CE163</vt:lpwstr>
  </property>
  <property fmtid="{D5CDD505-2E9C-101B-9397-08002B2CF9AE}" pid="3" name="MediaServiceImageTags">
    <vt:lpwstr/>
  </property>
  <property fmtid="{D5CDD505-2E9C-101B-9397-08002B2CF9AE}" pid="4" name="Order">
    <vt:r8>291800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